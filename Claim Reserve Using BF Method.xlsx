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787540514f6b81/Documents/"/>
    </mc:Choice>
  </mc:AlternateContent>
  <xr:revisionPtr revIDLastSave="0" documentId="8_{65FAE47E-E9EE-46C2-AA6A-690CE35C4FB9}" xr6:coauthVersionLast="47" xr6:coauthVersionMax="47" xr10:uidLastSave="{00000000-0000-0000-0000-000000000000}"/>
  <bookViews>
    <workbookView xWindow="-110" yWindow="-110" windowWidth="19420" windowHeight="10300" firstSheet="1" activeTab="1" xr2:uid="{E29522E0-4B0B-42D9-9481-AEB0EFDFE464}"/>
  </bookViews>
  <sheets>
    <sheet name="DATA PREMI" sheetId="1" r:id="rId1"/>
    <sheet name="DATA KLAIM" sheetId="2" r:id="rId2"/>
    <sheet name="IBNR TRIWULAN" sheetId="4" r:id="rId3"/>
    <sheet name="IBNR BULANAN" sheetId="5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5" l="1"/>
  <c r="Z4" i="1"/>
  <c r="K24" i="2"/>
  <c r="H90" i="5"/>
  <c r="S29" i="5"/>
  <c r="S28" i="5"/>
  <c r="J90" i="5" l="1"/>
  <c r="H91" i="5"/>
  <c r="H92" i="5"/>
  <c r="H93" i="5"/>
  <c r="H94" i="5"/>
  <c r="H95" i="5"/>
  <c r="H96" i="5"/>
  <c r="H97" i="5"/>
  <c r="H98" i="5"/>
  <c r="H99" i="5"/>
  <c r="H100" i="5"/>
  <c r="H102" i="5"/>
  <c r="H103" i="5"/>
  <c r="H104" i="5"/>
  <c r="H105" i="5"/>
  <c r="H106" i="5"/>
  <c r="H107" i="5"/>
  <c r="G95" i="5"/>
  <c r="E91" i="5"/>
  <c r="G90" i="5"/>
  <c r="F90" i="5"/>
  <c r="E90" i="5"/>
  <c r="G104" i="5"/>
  <c r="F80" i="5"/>
  <c r="C69" i="5"/>
  <c r="D69" i="5"/>
  <c r="E102" i="5"/>
  <c r="G91" i="5"/>
  <c r="G92" i="5"/>
  <c r="G93" i="5"/>
  <c r="G94" i="5"/>
  <c r="G96" i="5"/>
  <c r="G97" i="5"/>
  <c r="G98" i="5"/>
  <c r="G99" i="5"/>
  <c r="G100" i="5"/>
  <c r="G101" i="5"/>
  <c r="G102" i="5"/>
  <c r="G103" i="5"/>
  <c r="G105" i="5"/>
  <c r="G106" i="5"/>
  <c r="G107" i="5"/>
  <c r="R40" i="1"/>
  <c r="Q40" i="1"/>
  <c r="P40" i="1"/>
  <c r="C69" i="4"/>
  <c r="C68" i="4"/>
  <c r="C67" i="4"/>
  <c r="C66" i="4"/>
  <c r="C65" i="4"/>
  <c r="C64" i="4"/>
  <c r="C56" i="4"/>
  <c r="D56" i="4" s="1"/>
  <c r="B18" i="4"/>
  <c r="B40" i="4" s="1"/>
  <c r="C15" i="4"/>
  <c r="B15" i="4"/>
  <c r="B37" i="4" s="1"/>
  <c r="D12" i="4"/>
  <c r="C12" i="4"/>
  <c r="E9" i="4"/>
  <c r="D9" i="4"/>
  <c r="F6" i="4"/>
  <c r="E6" i="4"/>
  <c r="B6" i="4"/>
  <c r="G3" i="4"/>
  <c r="F3" i="4"/>
  <c r="E3" i="4"/>
  <c r="D3" i="4"/>
  <c r="C3" i="4"/>
  <c r="B3" i="4"/>
  <c r="D107" i="5"/>
  <c r="D104" i="5"/>
  <c r="D105" i="5"/>
  <c r="D106" i="5"/>
  <c r="B22" i="5"/>
  <c r="B44" i="5" s="1"/>
  <c r="C21" i="5"/>
  <c r="B21" i="5"/>
  <c r="B43" i="5" s="1"/>
  <c r="C20" i="5"/>
  <c r="D20" i="5"/>
  <c r="B20" i="5"/>
  <c r="W19" i="2"/>
  <c r="W18" i="2"/>
  <c r="W14" i="2"/>
  <c r="C19" i="5"/>
  <c r="D19" i="5"/>
  <c r="B19" i="5"/>
  <c r="D18" i="5"/>
  <c r="E18" i="5"/>
  <c r="E17" i="5"/>
  <c r="F17" i="5"/>
  <c r="E16" i="5"/>
  <c r="F16" i="5"/>
  <c r="G16" i="5"/>
  <c r="G15" i="5"/>
  <c r="H15" i="5"/>
  <c r="E14" i="5"/>
  <c r="F14" i="5"/>
  <c r="G14" i="5"/>
  <c r="H14" i="5"/>
  <c r="E13" i="5"/>
  <c r="F13" i="5"/>
  <c r="G13" i="5"/>
  <c r="H13" i="5"/>
  <c r="I13" i="5"/>
  <c r="E12" i="5"/>
  <c r="F12" i="5"/>
  <c r="G12" i="5"/>
  <c r="H12" i="5"/>
  <c r="I12" i="5"/>
  <c r="J12" i="5"/>
  <c r="E11" i="5"/>
  <c r="F11" i="5"/>
  <c r="G11" i="5"/>
  <c r="H11" i="5"/>
  <c r="I11" i="5"/>
  <c r="J11" i="5"/>
  <c r="K11" i="5"/>
  <c r="E10" i="5"/>
  <c r="F10" i="5"/>
  <c r="G10" i="5"/>
  <c r="H10" i="5"/>
  <c r="I10" i="5"/>
  <c r="J10" i="5"/>
  <c r="K10" i="5"/>
  <c r="L10" i="5"/>
  <c r="M10" i="5"/>
  <c r="E9" i="5"/>
  <c r="F9" i="5"/>
  <c r="G9" i="5"/>
  <c r="H9" i="5"/>
  <c r="I9" i="5"/>
  <c r="J9" i="5"/>
  <c r="K9" i="5"/>
  <c r="L9" i="5"/>
  <c r="M9" i="5"/>
  <c r="N9" i="5"/>
  <c r="O9" i="5"/>
  <c r="E8" i="5"/>
  <c r="F8" i="5"/>
  <c r="G8" i="5"/>
  <c r="H8" i="5"/>
  <c r="I8" i="5"/>
  <c r="J8" i="5"/>
  <c r="K8" i="5"/>
  <c r="L8" i="5"/>
  <c r="M8" i="5"/>
  <c r="N8" i="5"/>
  <c r="O8" i="5"/>
  <c r="P8" i="5"/>
  <c r="E7" i="5"/>
  <c r="F7" i="5"/>
  <c r="G7" i="5"/>
  <c r="H7" i="5"/>
  <c r="I7" i="5"/>
  <c r="J7" i="5"/>
  <c r="K7" i="5"/>
  <c r="L7" i="5"/>
  <c r="M7" i="5"/>
  <c r="N7" i="5"/>
  <c r="O7" i="5"/>
  <c r="P7" i="5"/>
  <c r="Q7" i="5"/>
  <c r="F6" i="5"/>
  <c r="G6" i="5"/>
  <c r="H6" i="5"/>
  <c r="I6" i="5"/>
  <c r="J6" i="5"/>
  <c r="K6" i="5"/>
  <c r="L6" i="5"/>
  <c r="M6" i="5"/>
  <c r="N6" i="5"/>
  <c r="O6" i="5"/>
  <c r="P6" i="5"/>
  <c r="Q6" i="5"/>
  <c r="R6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B42" i="5"/>
  <c r="E25" i="4" l="1"/>
  <c r="C37" i="4"/>
  <c r="F25" i="4"/>
  <c r="G25" i="4"/>
  <c r="E41" i="5"/>
  <c r="C104" i="5" s="1"/>
  <c r="C43" i="5"/>
  <c r="D42" i="5"/>
  <c r="C105" i="5" s="1"/>
  <c r="D41" i="5"/>
  <c r="C42" i="5"/>
  <c r="B41" i="5"/>
  <c r="C41" i="5"/>
  <c r="B49" i="4" l="1"/>
  <c r="C49" i="4" s="1"/>
  <c r="B64" i="4"/>
  <c r="D64" i="4" l="1"/>
  <c r="F64" i="4" s="1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B38" i="5"/>
  <c r="B35" i="5"/>
  <c r="B32" i="5"/>
  <c r="B31" i="5"/>
  <c r="B29" i="5"/>
  <c r="C18" i="5"/>
  <c r="B18" i="5"/>
  <c r="D17" i="5"/>
  <c r="C17" i="5"/>
  <c r="B17" i="5"/>
  <c r="D16" i="5"/>
  <c r="C16" i="5"/>
  <c r="F15" i="5"/>
  <c r="E15" i="5"/>
  <c r="D15" i="5"/>
  <c r="C15" i="5"/>
  <c r="B15" i="5"/>
  <c r="D14" i="5"/>
  <c r="C14" i="5"/>
  <c r="B14" i="5"/>
  <c r="D13" i="5"/>
  <c r="C13" i="5"/>
  <c r="D12" i="5"/>
  <c r="C12" i="5"/>
  <c r="B12" i="5"/>
  <c r="D11" i="5"/>
  <c r="C11" i="5"/>
  <c r="B11" i="5"/>
  <c r="D10" i="5"/>
  <c r="C10" i="5"/>
  <c r="D9" i="5"/>
  <c r="C9" i="5"/>
  <c r="D8" i="5"/>
  <c r="C8" i="5"/>
  <c r="B8" i="5"/>
  <c r="D7" i="5"/>
  <c r="C7" i="5"/>
  <c r="E6" i="5"/>
  <c r="D6" i="5"/>
  <c r="C6" i="5"/>
  <c r="B6" i="5"/>
  <c r="C5" i="5"/>
  <c r="B5" i="5"/>
  <c r="S27" i="5" l="1"/>
  <c r="G32" i="5"/>
  <c r="K32" i="5"/>
  <c r="E32" i="5"/>
  <c r="I32" i="5"/>
  <c r="M32" i="5"/>
  <c r="F32" i="5"/>
  <c r="J32" i="5"/>
  <c r="N32" i="5"/>
  <c r="D32" i="5"/>
  <c r="H32" i="5"/>
  <c r="L32" i="5"/>
  <c r="F35" i="5"/>
  <c r="J35" i="5"/>
  <c r="H35" i="5"/>
  <c r="E35" i="5"/>
  <c r="I35" i="5"/>
  <c r="G35" i="5"/>
  <c r="K35" i="5"/>
  <c r="D35" i="5"/>
  <c r="K28" i="5"/>
  <c r="G28" i="5"/>
  <c r="O28" i="5"/>
  <c r="D28" i="5"/>
  <c r="H28" i="5"/>
  <c r="L28" i="5"/>
  <c r="P28" i="5"/>
  <c r="E28" i="5"/>
  <c r="I28" i="5"/>
  <c r="M28" i="5"/>
  <c r="Q28" i="5"/>
  <c r="F28" i="5"/>
  <c r="J28" i="5"/>
  <c r="N28" i="5"/>
  <c r="R28" i="5"/>
  <c r="G29" i="5"/>
  <c r="E29" i="5"/>
  <c r="I29" i="5"/>
  <c r="Q29" i="5"/>
  <c r="M29" i="5"/>
  <c r="F29" i="5"/>
  <c r="J29" i="5"/>
  <c r="N29" i="5"/>
  <c r="K29" i="5"/>
  <c r="O29" i="5"/>
  <c r="D29" i="5"/>
  <c r="H29" i="5"/>
  <c r="L29" i="5"/>
  <c r="P29" i="5"/>
  <c r="B34" i="5"/>
  <c r="F34" i="5"/>
  <c r="J34" i="5"/>
  <c r="D34" i="5"/>
  <c r="H34" i="5"/>
  <c r="L34" i="5"/>
  <c r="E34" i="5"/>
  <c r="I34" i="5"/>
  <c r="G34" i="5"/>
  <c r="K34" i="5"/>
  <c r="G37" i="5"/>
  <c r="F37" i="5"/>
  <c r="D37" i="5"/>
  <c r="H37" i="5"/>
  <c r="E37" i="5"/>
  <c r="I37" i="5"/>
  <c r="C100" i="5" s="1"/>
  <c r="D39" i="5"/>
  <c r="G39" i="5"/>
  <c r="C102" i="5" s="1"/>
  <c r="E39" i="5"/>
  <c r="F39" i="5"/>
  <c r="D31" i="5"/>
  <c r="H31" i="5"/>
  <c r="L31" i="5"/>
  <c r="J31" i="5"/>
  <c r="N31" i="5"/>
  <c r="F31" i="5"/>
  <c r="G31" i="5"/>
  <c r="K31" i="5"/>
  <c r="O31" i="5"/>
  <c r="E31" i="5"/>
  <c r="I31" i="5"/>
  <c r="M31" i="5"/>
  <c r="E33" i="5"/>
  <c r="I33" i="5"/>
  <c r="M33" i="5"/>
  <c r="G33" i="5"/>
  <c r="K33" i="5"/>
  <c r="D33" i="5"/>
  <c r="H33" i="5"/>
  <c r="L33" i="5"/>
  <c r="F33" i="5"/>
  <c r="J33" i="5"/>
  <c r="E36" i="5"/>
  <c r="I36" i="5"/>
  <c r="D36" i="5"/>
  <c r="H36" i="5"/>
  <c r="F36" i="5"/>
  <c r="J36" i="5"/>
  <c r="C99" i="5" s="1"/>
  <c r="G36" i="5"/>
  <c r="C38" i="5"/>
  <c r="D38" i="5"/>
  <c r="H38" i="5"/>
  <c r="C101" i="5" s="1"/>
  <c r="G38" i="5"/>
  <c r="E38" i="5"/>
  <c r="F38" i="5"/>
  <c r="B27" i="5"/>
  <c r="D27" i="5"/>
  <c r="L27" i="5"/>
  <c r="H27" i="5"/>
  <c r="P27" i="5"/>
  <c r="E27" i="5"/>
  <c r="I27" i="5"/>
  <c r="M27" i="5"/>
  <c r="Q27" i="5"/>
  <c r="F27" i="5"/>
  <c r="J27" i="5"/>
  <c r="N27" i="5"/>
  <c r="R27" i="5"/>
  <c r="B63" i="5" s="1"/>
  <c r="G27" i="5"/>
  <c r="K27" i="5"/>
  <c r="O27" i="5"/>
  <c r="D30" i="5"/>
  <c r="H30" i="5"/>
  <c r="L30" i="5"/>
  <c r="P30" i="5"/>
  <c r="F30" i="5"/>
  <c r="J30" i="5"/>
  <c r="N30" i="5"/>
  <c r="G30" i="5"/>
  <c r="K30" i="5"/>
  <c r="O30" i="5"/>
  <c r="E30" i="5"/>
  <c r="I30" i="5"/>
  <c r="M30" i="5"/>
  <c r="F40" i="5"/>
  <c r="C103" i="5" s="1"/>
  <c r="D40" i="5"/>
  <c r="E40" i="5"/>
  <c r="C40" i="5"/>
  <c r="C29" i="5"/>
  <c r="C39" i="5"/>
  <c r="B28" i="5"/>
  <c r="C28" i="5"/>
  <c r="C33" i="5"/>
  <c r="C36" i="5"/>
  <c r="C27" i="5"/>
  <c r="C34" i="5"/>
  <c r="C35" i="5"/>
  <c r="B37" i="5"/>
  <c r="B40" i="5"/>
  <c r="B30" i="5"/>
  <c r="C32" i="5"/>
  <c r="C37" i="5"/>
  <c r="B39" i="5"/>
  <c r="C30" i="5"/>
  <c r="C31" i="5"/>
  <c r="B33" i="5"/>
  <c r="B36" i="5"/>
  <c r="C90" i="5" l="1"/>
  <c r="B90" i="5"/>
  <c r="P31" i="5"/>
  <c r="Q31" i="5" s="1"/>
  <c r="R31" i="5" s="1"/>
  <c r="S31" i="5" s="1"/>
  <c r="B94" i="5" s="1"/>
  <c r="C94" i="5"/>
  <c r="M34" i="5"/>
  <c r="N34" i="5" s="1"/>
  <c r="O34" i="5" s="1"/>
  <c r="P34" i="5" s="1"/>
  <c r="Q34" i="5" s="1"/>
  <c r="R34" i="5" s="1"/>
  <c r="S34" i="5" s="1"/>
  <c r="B97" i="5" s="1"/>
  <c r="C97" i="5"/>
  <c r="E97" i="5" s="1"/>
  <c r="F97" i="5" s="1"/>
  <c r="B91" i="5"/>
  <c r="C91" i="5"/>
  <c r="F91" i="5" s="1"/>
  <c r="L35" i="5"/>
  <c r="M35" i="5" s="1"/>
  <c r="N35" i="5" s="1"/>
  <c r="O35" i="5" s="1"/>
  <c r="P35" i="5" s="1"/>
  <c r="Q35" i="5" s="1"/>
  <c r="R35" i="5" s="1"/>
  <c r="S35" i="5" s="1"/>
  <c r="B98" i="5" s="1"/>
  <c r="C98" i="5"/>
  <c r="E98" i="5" s="1"/>
  <c r="F98" i="5" s="1"/>
  <c r="O32" i="5"/>
  <c r="P32" i="5" s="1"/>
  <c r="Q32" i="5" s="1"/>
  <c r="R32" i="5" s="1"/>
  <c r="S32" i="5" s="1"/>
  <c r="B95" i="5" s="1"/>
  <c r="C95" i="5"/>
  <c r="E95" i="5" s="1"/>
  <c r="F95" i="5" s="1"/>
  <c r="R29" i="5"/>
  <c r="B92" i="5" s="1"/>
  <c r="C92" i="5"/>
  <c r="E92" i="5" s="1"/>
  <c r="F92" i="5" s="1"/>
  <c r="Q30" i="5"/>
  <c r="R30" i="5" s="1"/>
  <c r="S30" i="5" s="1"/>
  <c r="B93" i="5" s="1"/>
  <c r="C93" i="5"/>
  <c r="E93" i="5" s="1"/>
  <c r="F93" i="5" s="1"/>
  <c r="N33" i="5"/>
  <c r="O33" i="5" s="1"/>
  <c r="P33" i="5" s="1"/>
  <c r="Q33" i="5" s="1"/>
  <c r="R33" i="5" s="1"/>
  <c r="S33" i="5" s="1"/>
  <c r="B96" i="5" s="1"/>
  <c r="C96" i="5"/>
  <c r="B47" i="5"/>
  <c r="F46" i="5" s="1"/>
  <c r="C44" i="5" s="1"/>
  <c r="C63" i="5"/>
  <c r="B70" i="5" s="1"/>
  <c r="C70" i="5" s="1"/>
  <c r="D70" i="5" s="1"/>
  <c r="E70" i="5" s="1"/>
  <c r="B62" i="5"/>
  <c r="C62" i="5" s="1"/>
  <c r="B71" i="5" s="1"/>
  <c r="C71" i="5" s="1"/>
  <c r="D71" i="5" s="1"/>
  <c r="E71" i="5" s="1"/>
  <c r="B61" i="5"/>
  <c r="C64" i="5"/>
  <c r="B69" i="5" s="1"/>
  <c r="E69" i="5" s="1"/>
  <c r="B60" i="5"/>
  <c r="B59" i="5"/>
  <c r="B58" i="5"/>
  <c r="B57" i="5"/>
  <c r="B52" i="5"/>
  <c r="K46" i="5" s="1"/>
  <c r="H39" i="5" s="1"/>
  <c r="B55" i="5"/>
  <c r="N46" i="5" s="1"/>
  <c r="K36" i="5" s="1"/>
  <c r="L36" i="5" s="1"/>
  <c r="M36" i="5" s="1"/>
  <c r="N36" i="5" s="1"/>
  <c r="O36" i="5" s="1"/>
  <c r="P36" i="5" s="1"/>
  <c r="Q36" i="5" s="1"/>
  <c r="R36" i="5" s="1"/>
  <c r="S36" i="5" s="1"/>
  <c r="B99" i="5" s="1"/>
  <c r="B54" i="5"/>
  <c r="M46" i="5" s="1"/>
  <c r="J37" i="5" s="1"/>
  <c r="B53" i="5"/>
  <c r="L46" i="5" s="1"/>
  <c r="I38" i="5" s="1"/>
  <c r="B56" i="5"/>
  <c r="B51" i="5"/>
  <c r="J46" i="5" s="1"/>
  <c r="G40" i="5" s="1"/>
  <c r="B50" i="5"/>
  <c r="I46" i="5" s="1"/>
  <c r="F41" i="5" s="1"/>
  <c r="B49" i="5"/>
  <c r="H46" i="5" s="1"/>
  <c r="E42" i="5" s="1"/>
  <c r="B48" i="5"/>
  <c r="E96" i="5"/>
  <c r="F96" i="5" s="1"/>
  <c r="E94" i="5"/>
  <c r="F94" i="5" s="1"/>
  <c r="E99" i="5" l="1"/>
  <c r="F99" i="5" s="1"/>
  <c r="G41" i="5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R41" i="5" s="1"/>
  <c r="S41" i="5" s="1"/>
  <c r="B104" i="5" s="1"/>
  <c r="K37" i="5"/>
  <c r="L37" i="5" s="1"/>
  <c r="M37" i="5" s="1"/>
  <c r="N37" i="5" s="1"/>
  <c r="O37" i="5" s="1"/>
  <c r="P37" i="5" s="1"/>
  <c r="Q37" i="5" s="1"/>
  <c r="R37" i="5" s="1"/>
  <c r="S37" i="5" s="1"/>
  <c r="B100" i="5" s="1"/>
  <c r="C60" i="5"/>
  <c r="B73" i="5" s="1"/>
  <c r="C73" i="5" s="1"/>
  <c r="D73" i="5" s="1"/>
  <c r="E73" i="5" s="1"/>
  <c r="F42" i="5"/>
  <c r="G42" i="5" s="1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R42" i="5" s="1"/>
  <c r="S42" i="5" s="1"/>
  <c r="B105" i="5" s="1"/>
  <c r="J38" i="5"/>
  <c r="K38" i="5" s="1"/>
  <c r="L38" i="5" s="1"/>
  <c r="M38" i="5" s="1"/>
  <c r="N38" i="5" s="1"/>
  <c r="O38" i="5" s="1"/>
  <c r="P38" i="5" s="1"/>
  <c r="Q38" i="5" s="1"/>
  <c r="R38" i="5" s="1"/>
  <c r="S38" i="5" s="1"/>
  <c r="B101" i="5" s="1"/>
  <c r="C61" i="5"/>
  <c r="B72" i="5" s="1"/>
  <c r="C72" i="5" s="1"/>
  <c r="D72" i="5" s="1"/>
  <c r="E72" i="5" s="1"/>
  <c r="H40" i="5"/>
  <c r="I40" i="5" s="1"/>
  <c r="J40" i="5" s="1"/>
  <c r="K40" i="5" s="1"/>
  <c r="L40" i="5" s="1"/>
  <c r="M40" i="5" s="1"/>
  <c r="N40" i="5" s="1"/>
  <c r="O40" i="5" s="1"/>
  <c r="P40" i="5" s="1"/>
  <c r="Q40" i="5" s="1"/>
  <c r="R40" i="5" s="1"/>
  <c r="S40" i="5" s="1"/>
  <c r="B103" i="5" s="1"/>
  <c r="I39" i="5"/>
  <c r="J39" i="5" s="1"/>
  <c r="K39" i="5" s="1"/>
  <c r="L39" i="5" s="1"/>
  <c r="M39" i="5" s="1"/>
  <c r="N39" i="5" s="1"/>
  <c r="O39" i="5" s="1"/>
  <c r="P39" i="5" s="1"/>
  <c r="Q39" i="5" s="1"/>
  <c r="R39" i="5" s="1"/>
  <c r="S39" i="5" s="1"/>
  <c r="B102" i="5" s="1"/>
  <c r="C48" i="5"/>
  <c r="G46" i="5"/>
  <c r="D43" i="5" s="1"/>
  <c r="E43" i="5" s="1"/>
  <c r="F43" i="5" s="1"/>
  <c r="G43" i="5" s="1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R43" i="5" s="1"/>
  <c r="S43" i="5" s="1"/>
  <c r="C59" i="5"/>
  <c r="B74" i="5" s="1"/>
  <c r="C74" i="5" s="1"/>
  <c r="D74" i="5" s="1"/>
  <c r="E74" i="5" s="1"/>
  <c r="C57" i="5"/>
  <c r="B76" i="5" s="1"/>
  <c r="C76" i="5" s="1"/>
  <c r="D76" i="5" s="1"/>
  <c r="E76" i="5" s="1"/>
  <c r="C56" i="5"/>
  <c r="C51" i="5"/>
  <c r="B82" i="5" s="1"/>
  <c r="C82" i="5" s="1"/>
  <c r="D82" i="5" s="1"/>
  <c r="E82" i="5" s="1"/>
  <c r="C55" i="5"/>
  <c r="B78" i="5" s="1"/>
  <c r="C78" i="5" s="1"/>
  <c r="D78" i="5" s="1"/>
  <c r="E78" i="5" s="1"/>
  <c r="C52" i="5"/>
  <c r="C47" i="5"/>
  <c r="B86" i="5" s="1"/>
  <c r="C86" i="5" s="1"/>
  <c r="D86" i="5" s="1"/>
  <c r="E86" i="5" s="1"/>
  <c r="C49" i="5"/>
  <c r="C53" i="5"/>
  <c r="C50" i="5"/>
  <c r="C54" i="5"/>
  <c r="C58" i="5"/>
  <c r="C106" i="5" l="1"/>
  <c r="J106" i="5" s="1"/>
  <c r="B106" i="5"/>
  <c r="F102" i="5"/>
  <c r="E100" i="5"/>
  <c r="F100" i="5" s="1"/>
  <c r="E101" i="5"/>
  <c r="F101" i="5" s="1"/>
  <c r="E104" i="5"/>
  <c r="F104" i="5" s="1"/>
  <c r="E105" i="5"/>
  <c r="F105" i="5" s="1"/>
  <c r="E103" i="5"/>
  <c r="F103" i="5" s="1"/>
  <c r="D44" i="5"/>
  <c r="E44" i="5" s="1"/>
  <c r="F44" i="5" s="1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R44" i="5" s="1"/>
  <c r="S44" i="5" s="1"/>
  <c r="E106" i="5"/>
  <c r="F106" i="5" s="1"/>
  <c r="B80" i="5"/>
  <c r="C80" i="5" s="1"/>
  <c r="D80" i="5" s="1"/>
  <c r="E80" i="5" s="1"/>
  <c r="B85" i="5"/>
  <c r="C85" i="5" s="1"/>
  <c r="D85" i="5" s="1"/>
  <c r="E85" i="5" s="1"/>
  <c r="B75" i="5"/>
  <c r="C75" i="5" s="1"/>
  <c r="D75" i="5" s="1"/>
  <c r="E75" i="5" s="1"/>
  <c r="B84" i="5"/>
  <c r="C84" i="5" s="1"/>
  <c r="D84" i="5" s="1"/>
  <c r="E84" i="5" s="1"/>
  <c r="B83" i="5"/>
  <c r="C83" i="5" s="1"/>
  <c r="D83" i="5" s="1"/>
  <c r="E83" i="5" s="1"/>
  <c r="B81" i="5"/>
  <c r="C81" i="5" s="1"/>
  <c r="D81" i="5" s="1"/>
  <c r="E81" i="5" s="1"/>
  <c r="B79" i="5"/>
  <c r="C79" i="5" s="1"/>
  <c r="D79" i="5" s="1"/>
  <c r="E79" i="5" s="1"/>
  <c r="B77" i="5"/>
  <c r="C77" i="5" s="1"/>
  <c r="D77" i="5" s="1"/>
  <c r="E77" i="5" s="1"/>
  <c r="C107" i="5" l="1"/>
  <c r="J107" i="5" s="1"/>
  <c r="B107" i="5"/>
  <c r="E107" i="5" l="1"/>
  <c r="F107" i="5" s="1"/>
  <c r="I90" i="5" l="1"/>
  <c r="J91" i="5"/>
  <c r="J98" i="5"/>
  <c r="J93" i="5"/>
  <c r="J92" i="5"/>
  <c r="J94" i="5"/>
  <c r="J96" i="5"/>
  <c r="J99" i="5"/>
  <c r="J105" i="5"/>
  <c r="J95" i="5"/>
  <c r="J101" i="5"/>
  <c r="J97" i="5"/>
  <c r="J102" i="5"/>
  <c r="J103" i="5"/>
  <c r="J104" i="5"/>
  <c r="J100" i="5"/>
  <c r="D6" i="4"/>
  <c r="C6" i="4"/>
  <c r="B12" i="4"/>
  <c r="D34" i="4" s="1"/>
  <c r="C9" i="4"/>
  <c r="B9" i="4"/>
  <c r="C6" i="2"/>
  <c r="O40" i="1"/>
  <c r="N40" i="1"/>
  <c r="M40" i="1"/>
  <c r="K4" i="1"/>
  <c r="L40" i="1"/>
  <c r="J40" i="1"/>
  <c r="I40" i="1"/>
  <c r="H40" i="1"/>
  <c r="G40" i="1"/>
  <c r="F40" i="1"/>
  <c r="E40" i="1"/>
  <c r="D40" i="1"/>
  <c r="C40" i="1"/>
  <c r="B40" i="1"/>
  <c r="A38" i="1"/>
  <c r="A40" i="1" s="1"/>
  <c r="J108" i="5" l="1"/>
  <c r="K40" i="1"/>
  <c r="Y4" i="1"/>
  <c r="U4" i="1"/>
  <c r="X4" i="1"/>
  <c r="W4" i="1"/>
  <c r="V4" i="1"/>
  <c r="G24" i="2"/>
  <c r="J24" i="2"/>
  <c r="F24" i="2"/>
  <c r="I24" i="2"/>
  <c r="H24" i="2"/>
  <c r="E31" i="4"/>
  <c r="F31" i="4" s="1"/>
  <c r="G31" i="4" s="1"/>
  <c r="B66" i="4" s="1"/>
  <c r="F28" i="4"/>
  <c r="E28" i="4"/>
  <c r="C34" i="4"/>
  <c r="C31" i="4"/>
  <c r="D25" i="4"/>
  <c r="C28" i="4"/>
  <c r="D31" i="4"/>
  <c r="B25" i="4"/>
  <c r="B34" i="4"/>
  <c r="D28" i="4"/>
  <c r="C25" i="4"/>
  <c r="B28" i="4"/>
  <c r="B31" i="4"/>
  <c r="D66" i="4" l="1"/>
  <c r="F66" i="4" s="1"/>
  <c r="B48" i="4"/>
  <c r="C48" i="4" s="1"/>
  <c r="B57" i="4" s="1"/>
  <c r="C57" i="4" s="1"/>
  <c r="D57" i="4" s="1"/>
  <c r="G66" i="4" s="1"/>
  <c r="G28" i="4"/>
  <c r="B65" i="4" s="1"/>
  <c r="B47" i="4"/>
  <c r="B45" i="4"/>
  <c r="F44" i="4" s="1"/>
  <c r="C40" i="4" s="1"/>
  <c r="B46" i="4"/>
  <c r="B55" i="4"/>
  <c r="C55" i="4" s="1"/>
  <c r="D55" i="4" s="1"/>
  <c r="G64" i="4" s="1"/>
  <c r="I64" i="4" s="1"/>
  <c r="J64" i="4" s="1"/>
  <c r="D65" i="4" l="1"/>
  <c r="F65" i="4" s="1"/>
  <c r="I66" i="4"/>
  <c r="J66" i="4" s="1"/>
  <c r="C46" i="4"/>
  <c r="B59" i="4" s="1"/>
  <c r="C59" i="4" s="1"/>
  <c r="D59" i="4" s="1"/>
  <c r="G44" i="4"/>
  <c r="D37" i="4" s="1"/>
  <c r="C47" i="4"/>
  <c r="B58" i="4" s="1"/>
  <c r="C58" i="4" s="1"/>
  <c r="D58" i="4" s="1"/>
  <c r="H44" i="4"/>
  <c r="E34" i="4" s="1"/>
  <c r="F34" i="4" s="1"/>
  <c r="G34" i="4" s="1"/>
  <c r="B67" i="4" s="1"/>
  <c r="C45" i="4"/>
  <c r="B60" i="4" s="1"/>
  <c r="C60" i="4" s="1"/>
  <c r="D60" i="4" s="1"/>
  <c r="G65" i="4" l="1"/>
  <c r="I65" i="4" s="1"/>
  <c r="J65" i="4" s="1"/>
  <c r="D67" i="4"/>
  <c r="F67" i="4" s="1"/>
  <c r="D40" i="4"/>
  <c r="E40" i="4" s="1"/>
  <c r="F40" i="4" s="1"/>
  <c r="G40" i="4" s="1"/>
  <c r="B69" i="4" s="1"/>
  <c r="E37" i="4"/>
  <c r="F37" i="4" s="1"/>
  <c r="G37" i="4" s="1"/>
  <c r="B68" i="4" s="1"/>
  <c r="I67" i="4" l="1"/>
  <c r="J67" i="4" s="1"/>
  <c r="G67" i="4"/>
  <c r="D68" i="4"/>
  <c r="F68" i="4" s="1"/>
  <c r="D69" i="4"/>
  <c r="E64" i="4" l="1"/>
  <c r="F69" i="4"/>
  <c r="G68" i="4"/>
  <c r="I68" i="4" l="1"/>
  <c r="G69" i="4"/>
  <c r="H64" i="4" s="1"/>
  <c r="J68" i="4" l="1"/>
  <c r="I69" i="4"/>
  <c r="J69" i="4" s="1"/>
  <c r="I70" i="4" l="1"/>
  <c r="J70" i="4"/>
</calcChain>
</file>

<file path=xl/sharedStrings.xml><?xml version="1.0" encoding="utf-8"?>
<sst xmlns="http://schemas.openxmlformats.org/spreadsheetml/2006/main" count="145" uniqueCount="82">
  <si>
    <t>JANUARI</t>
  </si>
  <si>
    <t>BULAN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</si>
  <si>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</si>
  <si>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</si>
  <si>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</si>
  <si>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</si>
  <si>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</si>
  <si>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</si>
  <si>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</si>
  <si>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</si>
  <si>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</si>
  <si>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</si>
  <si>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</si>
  <si>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Rp. 2,278,800.00</t>
  </si>
  <si>
    <t xml:space="preserve"> </t>
  </si>
  <si>
    <t>IBNR</t>
  </si>
  <si>
    <t>TGL PELAPORAN</t>
  </si>
  <si>
    <t>TGL KEJADIAN</t>
  </si>
  <si>
    <t>NET KLAIM</t>
  </si>
  <si>
    <t>T KEJADIAN</t>
  </si>
  <si>
    <t>T PENUNDAAN</t>
  </si>
  <si>
    <t>run off triangle cumulative data</t>
  </si>
  <si>
    <t>development factor</t>
  </si>
  <si>
    <t>cumulative d'</t>
  </si>
  <si>
    <t>1/0</t>
  </si>
  <si>
    <t>2/1</t>
  </si>
  <si>
    <t>3/2</t>
  </si>
  <si>
    <t>4/3</t>
  </si>
  <si>
    <t>5/4</t>
  </si>
  <si>
    <t>6/5</t>
  </si>
  <si>
    <t>7/6</t>
  </si>
  <si>
    <t>8/7</t>
  </si>
  <si>
    <t>9/8</t>
  </si>
  <si>
    <t>10/9</t>
  </si>
  <si>
    <t>11/10</t>
  </si>
  <si>
    <t>12/11</t>
  </si>
  <si>
    <t>13/12</t>
  </si>
  <si>
    <t>cumulative development factor (F) ~ diurutkan berdasarkan nilai paling kecil karena tidak adanya estimasi</t>
  </si>
  <si>
    <t>accident period</t>
  </si>
  <si>
    <t>F</t>
  </si>
  <si>
    <t>Unpaid ratio</t>
  </si>
  <si>
    <t>%</t>
  </si>
  <si>
    <t>loss ratio = paid to date / earned premium</t>
  </si>
  <si>
    <t>paid to date</t>
  </si>
  <si>
    <t>earned premium</t>
  </si>
  <si>
    <t>loss ratio</t>
  </si>
  <si>
    <t>expected loss ratio (ELR)</t>
  </si>
  <si>
    <t>estimates ultimate loss</t>
  </si>
  <si>
    <t>expected loss reserve</t>
  </si>
  <si>
    <t>estimasi cadangan klaim</t>
  </si>
  <si>
    <t>MAPE</t>
  </si>
  <si>
    <t>expected loss ratio = 1/n sigma i sampai n dari lossratio</t>
  </si>
  <si>
    <t>estimates ultimate loss = ELR * earned premium</t>
  </si>
  <si>
    <t>expected loss reserve = estimated ultimate loss * unpaid ratio</t>
  </si>
  <si>
    <t>C</t>
  </si>
  <si>
    <t>PREMI</t>
  </si>
  <si>
    <t>Q-1</t>
  </si>
  <si>
    <t>Q-2</t>
  </si>
  <si>
    <t>Q-3</t>
  </si>
  <si>
    <t>Q-4</t>
  </si>
  <si>
    <t>Q-5</t>
  </si>
  <si>
    <t>14/13</t>
  </si>
  <si>
    <t>15/14</t>
  </si>
  <si>
    <t>17/16</t>
  </si>
  <si>
    <t>16/15</t>
  </si>
  <si>
    <t>18/17</t>
  </si>
  <si>
    <t>Q-6</t>
  </si>
  <si>
    <t>DATA PREMI JANUARI 2024 SAMPAI JUNI 2025</t>
  </si>
  <si>
    <t>PAID EST</t>
  </si>
  <si>
    <t>1 SETENGAH TAHUN</t>
  </si>
  <si>
    <t>paid to date (ACTUAL)</t>
  </si>
  <si>
    <t>estimates ultimate loss (sm kek paid to date)</t>
  </si>
  <si>
    <t>cumulative development factor (F) ~ dituliskan secara invers dikarenakan diasumsikan bahwa pada periode 17 tidak ada klaim yang belum dibayar.</t>
  </si>
  <si>
    <t>MIN</t>
  </si>
  <si>
    <t>MAX</t>
  </si>
  <si>
    <t>MEAN</t>
  </si>
  <si>
    <t>MODE</t>
  </si>
  <si>
    <t>MEDIAN</t>
  </si>
  <si>
    <t>ultimate claims</t>
  </si>
  <si>
    <t>reserve BF</t>
  </si>
  <si>
    <t>Paid Ratio (Bi)</t>
  </si>
  <si>
    <t>std. Deviasi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</si>
</sst>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[$Rp-421]#,##0"/>
    <numFmt numFmtId="165" formatCode="_-[$Rp-3809]* #,##0_-;\-[$Rp-3809]* #,##0_-;_-[$Rp-3809]* &quot;-&quot;??_-;_-@_-"/>
    <numFmt numFmtId="166" formatCode="_-&quot;Rp&quot;* #,##0_-;\-&quot;Rp&quot;* #,##0_-;_-&quot;Rp&quot;* &quot;-&quot;??_-;_-@_-"/>
    <numFmt numFmtId="167" formatCode="_-* #,##0.00_-;\-* #,##0.00_-;_-* &quot;-&quot;_-;_-@_-"/>
    <numFmt numFmtId="168" formatCode="_-* #,##0_-;\-* #,##0_-;_-* &quot;-&quot;??_-;_-@_-"/>
    <numFmt numFmtId="169" formatCode="0.0000%"/>
    <numFmt numFmtId="170" formatCode="_-* #,##0_-;\-* #,##0_-;_-* &quot;-&quot;????_-;_-@_-"/>
    <numFmt numFmtId="171" formatCode="_-[$Rp-421]* #,##0_ ;_-[$Rp-421]* \-#,##0\ ;_-[$Rp-421]* &quot;-&quot;_ ;_-@_ "/>
    <numFmt numFmtId="172" formatCode="#,##0.000000000000_ ;\-#,##0.000000000000\ "/>
    <numFmt numFmtId="173" formatCode="&quot;Rp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1"/>
      <color theme="0"/>
      <name val="Times New Roman"/>
      <family val="1"/>
    </font>
    <font>
      <b/>
      <sz val="11"/>
      <color theme="0" tint="-4.9989318521683403E-2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6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44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right" vertical="center"/>
    </xf>
    <xf numFmtId="0" fontId="8" fillId="2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167" fontId="9" fillId="0" borderId="1" xfId="2" applyNumberFormat="1" applyFont="1" applyFill="1" applyBorder="1" applyAlignment="1">
      <alignment horizontal="center" vertical="center"/>
    </xf>
    <xf numFmtId="168" fontId="5" fillId="0" borderId="1" xfId="1" applyNumberFormat="1" applyFont="1" applyBorder="1"/>
    <xf numFmtId="168" fontId="5" fillId="9" borderId="1" xfId="1" applyNumberFormat="1" applyFont="1" applyFill="1" applyBorder="1"/>
    <xf numFmtId="168" fontId="10" fillId="9" borderId="1" xfId="1" applyNumberFormat="1" applyFont="1" applyFill="1" applyBorder="1" applyAlignment="1">
      <alignment horizontal="center" vertical="center"/>
    </xf>
    <xf numFmtId="168" fontId="10" fillId="10" borderId="1" xfId="1" applyNumberFormat="1" applyFont="1" applyFill="1" applyBorder="1" applyAlignment="1">
      <alignment horizontal="center" vertical="center"/>
    </xf>
    <xf numFmtId="168" fontId="5" fillId="10" borderId="1" xfId="1" applyNumberFormat="1" applyFont="1" applyFill="1" applyBorder="1"/>
    <xf numFmtId="168" fontId="5" fillId="9" borderId="1" xfId="1" applyNumberFormat="1" applyFont="1" applyFill="1" applyBorder="1" applyAlignment="1">
      <alignment vertical="center"/>
    </xf>
    <xf numFmtId="168" fontId="10" fillId="9" borderId="1" xfId="1" applyNumberFormat="1" applyFont="1" applyFill="1" applyBorder="1"/>
    <xf numFmtId="168" fontId="11" fillId="9" borderId="1" xfId="1" applyNumberFormat="1" applyFont="1" applyFill="1" applyBorder="1"/>
    <xf numFmtId="0" fontId="5" fillId="0" borderId="0" xfId="0" applyFont="1"/>
    <xf numFmtId="17" fontId="7" fillId="7" borderId="1" xfId="0" applyNumberFormat="1" applyFont="1" applyFill="1" applyBorder="1" applyAlignment="1">
      <alignment horizontal="center"/>
    </xf>
    <xf numFmtId="17" fontId="7" fillId="8" borderId="1" xfId="0" applyNumberFormat="1" applyFont="1" applyFill="1" applyBorder="1" applyAlignment="1">
      <alignment horizontal="center" vertical="center"/>
    </xf>
    <xf numFmtId="17" fontId="7" fillId="6" borderId="1" xfId="0" applyNumberFormat="1" applyFont="1" applyFill="1" applyBorder="1" applyAlignment="1">
      <alignment horizontal="center" vertical="center"/>
    </xf>
    <xf numFmtId="17" fontId="7" fillId="11" borderId="1" xfId="0" applyNumberFormat="1" applyFont="1" applyFill="1" applyBorder="1" applyAlignment="1">
      <alignment horizontal="center" vertical="center"/>
    </xf>
    <xf numFmtId="43" fontId="5" fillId="0" borderId="0" xfId="0" applyNumberFormat="1" applyFont="1"/>
    <xf numFmtId="168" fontId="5" fillId="0" borderId="0" xfId="0" applyNumberFormat="1" applyFont="1"/>
    <xf numFmtId="41" fontId="5" fillId="10" borderId="1" xfId="0" applyNumberFormat="1" applyFont="1" applyFill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9" fontId="5" fillId="0" borderId="1" xfId="4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8" fontId="5" fillId="0" borderId="1" xfId="1" applyNumberFormat="1" applyFont="1" applyBorder="1" applyAlignment="1">
      <alignment horizontal="center"/>
    </xf>
    <xf numFmtId="9" fontId="5" fillId="0" borderId="1" xfId="4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0" borderId="0" xfId="0" applyFont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7" fontId="12" fillId="2" borderId="1" xfId="0" applyNumberFormat="1" applyFont="1" applyFill="1" applyBorder="1" applyAlignment="1">
      <alignment horizontal="center"/>
    </xf>
    <xf numFmtId="17" fontId="7" fillId="0" borderId="0" xfId="0" applyNumberFormat="1" applyFont="1" applyAlignment="1">
      <alignment horizontal="center"/>
    </xf>
    <xf numFmtId="43" fontId="13" fillId="0" borderId="0" xfId="1" applyFont="1" applyFill="1" applyBorder="1"/>
    <xf numFmtId="43" fontId="5" fillId="0" borderId="0" xfId="1" applyFont="1"/>
    <xf numFmtId="43" fontId="5" fillId="0" borderId="1" xfId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43" fontId="7" fillId="0" borderId="1" xfId="1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43" fontId="7" fillId="0" borderId="1" xfId="1" applyFont="1" applyFill="1" applyBorder="1" applyAlignment="1">
      <alignment horizontal="center" vertical="center"/>
    </xf>
    <xf numFmtId="0" fontId="5" fillId="0" borderId="1" xfId="0" applyFont="1" applyBorder="1"/>
    <xf numFmtId="43" fontId="5" fillId="0" borderId="1" xfId="0" applyNumberFormat="1" applyFont="1" applyBorder="1"/>
    <xf numFmtId="167" fontId="5" fillId="0" borderId="1" xfId="0" applyNumberFormat="1" applyFont="1" applyBorder="1"/>
    <xf numFmtId="168" fontId="5" fillId="0" borderId="1" xfId="1" applyNumberFormat="1" applyFont="1" applyFill="1" applyBorder="1" applyAlignment="1">
      <alignment vertical="center"/>
    </xf>
    <xf numFmtId="168" fontId="5" fillId="0" borderId="1" xfId="1" applyNumberFormat="1" applyFont="1" applyFill="1" applyBorder="1"/>
    <xf numFmtId="0" fontId="15" fillId="0" borderId="0" xfId="0" applyFont="1"/>
    <xf numFmtId="43" fontId="15" fillId="0" borderId="0" xfId="1" applyFont="1"/>
    <xf numFmtId="0" fontId="10" fillId="0" borderId="4" xfId="0" quotePrefix="1" applyFont="1" applyBorder="1" applyAlignment="1">
      <alignment horizontal="center" vertical="center"/>
    </xf>
    <xf numFmtId="43" fontId="7" fillId="0" borderId="1" xfId="1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9" fontId="5" fillId="0" borderId="0" xfId="4" applyFont="1" applyFill="1" applyBorder="1" applyAlignment="1">
      <alignment horizontal="center"/>
    </xf>
    <xf numFmtId="171" fontId="1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 wrapText="1"/>
    </xf>
    <xf numFmtId="170" fontId="5" fillId="0" borderId="0" xfId="0" applyNumberFormat="1" applyFont="1"/>
    <xf numFmtId="9" fontId="5" fillId="0" borderId="0" xfId="4" applyFont="1" applyBorder="1"/>
    <xf numFmtId="9" fontId="5" fillId="0" borderId="0" xfId="0" applyNumberFormat="1" applyFont="1" applyAlignment="1">
      <alignment vertical="center" wrapText="1"/>
    </xf>
    <xf numFmtId="166" fontId="7" fillId="0" borderId="1" xfId="0" applyNumberFormat="1" applyFont="1" applyBorder="1" applyAlignment="1">
      <alignment horizontal="right"/>
    </xf>
    <xf numFmtId="0" fontId="14" fillId="0" borderId="0" xfId="0" applyFont="1"/>
    <xf numFmtId="0" fontId="2" fillId="5" borderId="1" xfId="0" applyFont="1" applyFill="1" applyBorder="1" applyAlignment="1">
      <alignment horizontal="center"/>
    </xf>
    <xf numFmtId="0" fontId="5" fillId="9" borderId="1" xfId="0" applyFont="1" applyFill="1" applyBorder="1"/>
    <xf numFmtId="167" fontId="5" fillId="9" borderId="1" xfId="0" applyNumberFormat="1" applyFont="1" applyFill="1" applyBorder="1"/>
    <xf numFmtId="0" fontId="5" fillId="10" borderId="1" xfId="0" applyFont="1" applyFill="1" applyBorder="1"/>
    <xf numFmtId="167" fontId="5" fillId="10" borderId="1" xfId="0" applyNumberFormat="1" applyFont="1" applyFill="1" applyBorder="1"/>
    <xf numFmtId="168" fontId="10" fillId="10" borderId="1" xfId="1" applyNumberFormat="1" applyFont="1" applyFill="1" applyBorder="1"/>
    <xf numFmtId="0" fontId="8" fillId="2" borderId="1" xfId="0" applyFont="1" applyFill="1" applyBorder="1" applyAlignment="1">
      <alignment horizontal="center" vertical="center"/>
    </xf>
    <xf numFmtId="9" fontId="8" fillId="2" borderId="0" xfId="4" applyFont="1" applyFill="1" applyAlignment="1">
      <alignment horizontal="center"/>
    </xf>
    <xf numFmtId="9" fontId="8" fillId="0" borderId="0" xfId="4" applyFont="1" applyFill="1" applyBorder="1" applyAlignment="1">
      <alignment horizontal="center"/>
    </xf>
    <xf numFmtId="9" fontId="8" fillId="2" borderId="1" xfId="4" applyFont="1" applyFill="1" applyBorder="1" applyAlignment="1">
      <alignment horizontal="center"/>
    </xf>
    <xf numFmtId="44" fontId="7" fillId="0" borderId="1" xfId="0" applyNumberFormat="1" applyFont="1" applyBorder="1" applyAlignment="1">
      <alignment horizontal="right"/>
    </xf>
    <xf numFmtId="168" fontId="5" fillId="0" borderId="4" xfId="1" applyNumberFormat="1" applyFont="1" applyBorder="1" applyAlignment="1">
      <alignment horizontal="center"/>
    </xf>
    <xf numFmtId="0" fontId="7" fillId="10" borderId="1" xfId="0" applyFont="1" applyFill="1" applyBorder="1" applyAlignment="1">
      <alignment horizontal="center" vertical="center" wrapText="1"/>
    </xf>
    <xf numFmtId="9" fontId="5" fillId="0" borderId="0" xfId="4" applyFont="1"/>
    <xf numFmtId="43" fontId="5" fillId="0" borderId="0" xfId="1" applyFont="1" applyAlignment="1">
      <alignment horizontal="center"/>
    </xf>
    <xf numFmtId="0" fontId="2" fillId="5" borderId="0" xfId="0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168" fontId="10" fillId="0" borderId="1" xfId="1" applyNumberFormat="1" applyFont="1" applyFill="1" applyBorder="1" applyAlignment="1">
      <alignment horizontal="center" vertical="center"/>
    </xf>
    <xf numFmtId="168" fontId="10" fillId="0" borderId="1" xfId="1" applyNumberFormat="1" applyFont="1" applyFill="1" applyBorder="1"/>
    <xf numFmtId="41" fontId="5" fillId="0" borderId="1" xfId="0" applyNumberFormat="1" applyFont="1" applyBorder="1"/>
    <xf numFmtId="168" fontId="11" fillId="0" borderId="1" xfId="1" applyNumberFormat="1" applyFont="1" applyFill="1" applyBorder="1"/>
    <xf numFmtId="17" fontId="7" fillId="12" borderId="1" xfId="0" applyNumberFormat="1" applyFont="1" applyFill="1" applyBorder="1" applyAlignment="1">
      <alignment horizontal="center" vertical="center"/>
    </xf>
    <xf numFmtId="17" fontId="7" fillId="13" borderId="1" xfId="0" applyNumberFormat="1" applyFont="1" applyFill="1" applyBorder="1" applyAlignment="1">
      <alignment horizontal="center"/>
    </xf>
    <xf numFmtId="43" fontId="5" fillId="0" borderId="1" xfId="1" applyFont="1" applyFill="1" applyBorder="1"/>
    <xf numFmtId="168" fontId="5" fillId="0" borderId="0" xfId="1" applyNumberFormat="1" applyFont="1" applyBorder="1" applyAlignment="1">
      <alignment horizontal="center"/>
    </xf>
    <xf numFmtId="169" fontId="7" fillId="0" borderId="1" xfId="4" applyNumberFormat="1" applyFont="1" applyBorder="1" applyAlignment="1">
      <alignment horizontal="center"/>
    </xf>
    <xf numFmtId="172" fontId="5" fillId="0" borderId="0" xfId="0" applyNumberFormat="1" applyFont="1"/>
    <xf numFmtId="10" fontId="7" fillId="0" borderId="1" xfId="4" applyNumberFormat="1" applyFont="1" applyBorder="1" applyAlignment="1">
      <alignment horizontal="center"/>
    </xf>
    <xf numFmtId="10" fontId="5" fillId="0" borderId="1" xfId="4" applyNumberFormat="1" applyFont="1" applyBorder="1" applyAlignment="1">
      <alignment horizontal="center"/>
    </xf>
    <xf numFmtId="168" fontId="5" fillId="13" borderId="1" xfId="1" applyNumberFormat="1" applyFont="1" applyFill="1" applyBorder="1" applyAlignment="1">
      <alignment horizontal="center"/>
    </xf>
    <xf numFmtId="169" fontId="5" fillId="13" borderId="1" xfId="4" applyNumberFormat="1" applyFont="1" applyFill="1" applyBorder="1" applyAlignment="1">
      <alignment horizontal="center"/>
    </xf>
    <xf numFmtId="10" fontId="5" fillId="13" borderId="1" xfId="4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173" fontId="10" fillId="0" borderId="1" xfId="1" applyNumberFormat="1" applyFont="1" applyFill="1" applyBorder="1" applyAlignment="1">
      <alignment vertical="center"/>
    </xf>
    <xf numFmtId="173" fontId="10" fillId="4" borderId="1" xfId="1" applyNumberFormat="1" applyFont="1" applyFill="1" applyBorder="1" applyAlignment="1">
      <alignment vertical="center"/>
    </xf>
    <xf numFmtId="173" fontId="5" fillId="0" borderId="1" xfId="1" applyNumberFormat="1" applyFont="1" applyBorder="1" applyAlignment="1">
      <alignment vertical="center"/>
    </xf>
    <xf numFmtId="173" fontId="5" fillId="0" borderId="1" xfId="1" applyNumberFormat="1" applyFont="1" applyFill="1" applyBorder="1" applyAlignment="1">
      <alignment vertical="center"/>
    </xf>
    <xf numFmtId="173" fontId="5" fillId="0" borderId="1" xfId="0" applyNumberFormat="1" applyFont="1" applyBorder="1"/>
    <xf numFmtId="173" fontId="5" fillId="3" borderId="1" xfId="1" applyNumberFormat="1" applyFont="1" applyFill="1" applyBorder="1"/>
    <xf numFmtId="173" fontId="5" fillId="3" borderId="1" xfId="1" applyNumberFormat="1" applyFont="1" applyFill="1" applyBorder="1" applyAlignment="1">
      <alignment vertical="center"/>
    </xf>
    <xf numFmtId="173" fontId="10" fillId="3" borderId="1" xfId="1" applyNumberFormat="1" applyFont="1" applyFill="1" applyBorder="1" applyAlignment="1">
      <alignment vertical="center"/>
    </xf>
    <xf numFmtId="43" fontId="0" fillId="0" borderId="0" xfId="1" applyFont="1"/>
    <xf numFmtId="0" fontId="7" fillId="8" borderId="4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center"/>
    </xf>
    <xf numFmtId="165" fontId="7" fillId="0" borderId="7" xfId="1" applyNumberFormat="1" applyFont="1" applyFill="1" applyBorder="1" applyAlignment="1">
      <alignment horizontal="center"/>
    </xf>
    <xf numFmtId="165" fontId="7" fillId="0" borderId="0" xfId="1" applyNumberFormat="1" applyFont="1" applyFill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168" fontId="7" fillId="0" borderId="4" xfId="1" applyNumberFormat="1" applyFont="1" applyBorder="1" applyAlignment="1">
      <alignment horizontal="center" vertical="center"/>
    </xf>
    <xf numFmtId="168" fontId="7" fillId="0" borderId="6" xfId="1" applyNumberFormat="1" applyFont="1" applyBorder="1" applyAlignment="1">
      <alignment horizontal="center" vertical="center"/>
    </xf>
    <xf numFmtId="168" fontId="7" fillId="0" borderId="3" xfId="1" applyNumberFormat="1" applyFont="1" applyBorder="1" applyAlignment="1">
      <alignment horizontal="center" vertical="center"/>
    </xf>
    <xf numFmtId="17" fontId="12" fillId="2" borderId="7" xfId="0" applyNumberFormat="1" applyFont="1" applyFill="1" applyBorder="1" applyAlignment="1">
      <alignment horizontal="center"/>
    </xf>
    <xf numFmtId="17" fontId="12" fillId="2" borderId="0" xfId="0" applyNumberFormat="1" applyFont="1" applyFill="1" applyAlignment="1">
      <alignment horizontal="center"/>
    </xf>
    <xf numFmtId="17" fontId="12" fillId="2" borderId="1" xfId="0" applyNumberFormat="1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166" fontId="7" fillId="0" borderId="7" xfId="3" applyNumberFormat="1" applyFont="1" applyBorder="1" applyAlignment="1">
      <alignment horizontal="center"/>
    </xf>
    <xf numFmtId="166" fontId="7" fillId="0" borderId="0" xfId="3" applyNumberFormat="1" applyFont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" fontId="7" fillId="8" borderId="4" xfId="0" applyNumberFormat="1" applyFont="1" applyFill="1" applyBorder="1" applyAlignment="1">
      <alignment horizontal="center" vertical="center"/>
    </xf>
    <xf numFmtId="17" fontId="7" fillId="8" borderId="6" xfId="0" applyNumberFormat="1" applyFont="1" applyFill="1" applyBorder="1" applyAlignment="1">
      <alignment horizontal="center" vertical="center"/>
    </xf>
    <xf numFmtId="17" fontId="7" fillId="8" borderId="3" xfId="0" applyNumberFormat="1" applyFont="1" applyFill="1" applyBorder="1" applyAlignment="1">
      <alignment horizontal="center" vertical="center"/>
    </xf>
    <xf numFmtId="168" fontId="5" fillId="0" borderId="4" xfId="1" applyNumberFormat="1" applyFont="1" applyBorder="1" applyAlignment="1">
      <alignment horizontal="center" vertical="center"/>
    </xf>
    <xf numFmtId="168" fontId="5" fillId="0" borderId="6" xfId="1" applyNumberFormat="1" applyFont="1" applyBorder="1" applyAlignment="1">
      <alignment horizontal="center" vertical="center"/>
    </xf>
    <xf numFmtId="168" fontId="5" fillId="0" borderId="3" xfId="1" applyNumberFormat="1" applyFont="1" applyBorder="1" applyAlignment="1">
      <alignment horizontal="center" vertical="center"/>
    </xf>
    <xf numFmtId="168" fontId="5" fillId="3" borderId="4" xfId="1" applyNumberFormat="1" applyFont="1" applyFill="1" applyBorder="1" applyAlignment="1">
      <alignment horizontal="center" vertical="center"/>
    </xf>
    <xf numFmtId="168" fontId="5" fillId="3" borderId="6" xfId="1" applyNumberFormat="1" applyFont="1" applyFill="1" applyBorder="1" applyAlignment="1">
      <alignment horizontal="center" vertical="center"/>
    </xf>
    <xf numFmtId="168" fontId="5" fillId="3" borderId="3" xfId="1" applyNumberFormat="1" applyFont="1" applyFill="1" applyBorder="1" applyAlignment="1">
      <alignment horizontal="center" vertical="center"/>
    </xf>
    <xf numFmtId="168" fontId="10" fillId="0" borderId="4" xfId="1" applyNumberFormat="1" applyFont="1" applyFill="1" applyBorder="1" applyAlignment="1">
      <alignment horizontal="center" vertical="center"/>
    </xf>
    <xf numFmtId="168" fontId="10" fillId="0" borderId="6" xfId="1" applyNumberFormat="1" applyFont="1" applyFill="1" applyBorder="1" applyAlignment="1">
      <alignment horizontal="center" vertical="center"/>
    </xf>
    <xf numFmtId="168" fontId="10" fillId="0" borderId="3" xfId="1" applyNumberFormat="1" applyFont="1" applyFill="1" applyBorder="1" applyAlignment="1">
      <alignment horizontal="center" vertical="center"/>
    </xf>
    <xf numFmtId="168" fontId="10" fillId="4" borderId="4" xfId="1" applyNumberFormat="1" applyFont="1" applyFill="1" applyBorder="1" applyAlignment="1">
      <alignment horizontal="center" vertical="center"/>
    </xf>
    <xf numFmtId="168" fontId="10" fillId="4" borderId="6" xfId="1" applyNumberFormat="1" applyFont="1" applyFill="1" applyBorder="1" applyAlignment="1">
      <alignment horizontal="center" vertical="center"/>
    </xf>
    <xf numFmtId="168" fontId="10" fillId="4" borderId="3" xfId="1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68" fontId="5" fillId="0" borderId="1" xfId="1" applyNumberFormat="1" applyFont="1" applyBorder="1" applyAlignment="1">
      <alignment horizontal="center" vertical="center"/>
    </xf>
    <xf numFmtId="17" fontId="7" fillId="8" borderId="1" xfId="0" applyNumberFormat="1" applyFont="1" applyFill="1" applyBorder="1" applyAlignment="1">
      <alignment horizontal="center" vertical="center"/>
    </xf>
    <xf numFmtId="168" fontId="7" fillId="0" borderId="1" xfId="1" applyNumberFormat="1" applyFont="1" applyBorder="1" applyAlignment="1">
      <alignment horizontal="center" vertical="center"/>
    </xf>
  </cellXfs>
  <cellStyles count="5">
    <cellStyle name="Comma" xfId="1" builtinId="3"/>
    <cellStyle name="Comma [0]" xfId="2" builtinId="6"/>
    <cellStyle name="Currency" xfId="3" builtinId="4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3D9F-6465-4043-9405-2BDC2059EA48}">
  <dimension ref="A1:Z42"/>
  <sheetViews>
    <sheetView topLeftCell="T1" zoomScale="42" zoomScaleNormal="70" workbookViewId="0">
      <selection activeCell="Z4" sqref="Z4"/>
    </sheetView>
  </sheetViews>
  <sheetFormatPr defaultRowHeight="14.5" x14ac:dyDescent="0.35"/>
  <cols>
    <col min="1" max="1" width="19.36328125" customWidth="1"/>
    <col min="2" max="2" width="18.90625" customWidth="1"/>
    <col min="3" max="3" width="19.453125" customWidth="1"/>
    <col min="4" max="4" width="19.26953125" customWidth="1"/>
    <col min="5" max="5" width="19.36328125" customWidth="1"/>
    <col min="6" max="6" width="19.08984375" customWidth="1"/>
    <col min="7" max="7" width="19.6328125" customWidth="1"/>
    <col min="8" max="8" width="20" customWidth="1"/>
    <col min="9" max="9" width="20.90625" customWidth="1"/>
    <col min="10" max="10" width="20.36328125" customWidth="1"/>
    <col min="11" max="11" width="19.7265625" customWidth="1"/>
    <col min="12" max="12" width="19.453125" customWidth="1"/>
    <col min="13" max="13" width="18.81640625" customWidth="1"/>
    <col min="14" max="14" width="19.54296875" customWidth="1"/>
    <col min="15" max="15" width="19.36328125" customWidth="1"/>
    <col min="16" max="16" width="19.7265625" customWidth="1"/>
    <col min="17" max="17" width="20.453125" customWidth="1"/>
    <col min="18" max="18" width="20.90625" customWidth="1"/>
    <col min="21" max="21" width="17.36328125" customWidth="1"/>
    <col min="22" max="22" width="16.1796875" customWidth="1"/>
    <col min="23" max="23" width="16.54296875" customWidth="1"/>
    <col min="24" max="24" width="17.81640625" customWidth="1"/>
    <col min="25" max="25" width="17.08984375" customWidth="1"/>
    <col min="26" max="26" width="14.6328125" customWidth="1"/>
  </cols>
  <sheetData>
    <row r="1" spans="1:26" ht="16.5" x14ac:dyDescent="0.35">
      <c r="A1" s="142" t="s">
        <v>67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3" spans="1:26" ht="15.5" x14ac:dyDescent="0.35">
      <c r="A3" s="2" t="s">
        <v>0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74" t="s">
        <v>0</v>
      </c>
      <c r="N3" s="74" t="s">
        <v>2</v>
      </c>
      <c r="O3" s="74" t="s">
        <v>3</v>
      </c>
      <c r="P3" s="74" t="s">
        <v>4</v>
      </c>
      <c r="Q3" s="74" t="s">
        <v>5</v>
      </c>
      <c r="R3" s="74" t="s">
        <v>6</v>
      </c>
      <c r="U3" s="89" t="s">
        <v>74</v>
      </c>
      <c r="V3" s="89" t="s">
        <v>73</v>
      </c>
      <c r="W3" s="89" t="s">
        <v>77</v>
      </c>
      <c r="X3" s="89" t="s">
        <v>75</v>
      </c>
      <c r="Y3" s="89" t="s">
        <v>76</v>
      </c>
      <c r="Z3" s="89" t="s">
        <v>81</v>
      </c>
    </row>
    <row r="4" spans="1:26" ht="15.5" x14ac:dyDescent="0.35">
      <c r="A4" s="4">
        <v>480000</v>
      </c>
      <c r="B4" s="5">
        <v>94937078</v>
      </c>
      <c r="C4" s="5">
        <v>3840000</v>
      </c>
      <c r="D4" s="5">
        <v>4645000</v>
      </c>
      <c r="E4" s="5">
        <v>6354519</v>
      </c>
      <c r="F4" s="5">
        <v>666625</v>
      </c>
      <c r="G4" s="5">
        <v>9620000</v>
      </c>
      <c r="H4" s="5">
        <v>11093000</v>
      </c>
      <c r="I4" s="5" t="s">
        <v>13</v>
      </c>
      <c r="J4" s="4">
        <v>9374800</v>
      </c>
      <c r="K4" s="4">
        <f>178090791+8984000</f>
        <v>187074791</v>
      </c>
      <c r="L4" s="4">
        <v>14020000</v>
      </c>
      <c r="M4" s="5">
        <v>622209</v>
      </c>
      <c r="N4" s="6">
        <v>937500</v>
      </c>
      <c r="O4" s="6">
        <v>10182500</v>
      </c>
      <c r="P4" s="5">
        <v>274300</v>
      </c>
      <c r="Q4" s="6">
        <v>6248603</v>
      </c>
      <c r="R4" s="67">
        <v>10589720</v>
      </c>
      <c r="U4" s="90">
        <f>MAX(A4:R39)</f>
        <v>187074791</v>
      </c>
      <c r="V4" s="90">
        <f>MIN(A4:R39)</f>
        <v>50000</v>
      </c>
      <c r="W4" s="90">
        <f>MEDIAN(A4:R39)</f>
        <v>4263960</v>
      </c>
      <c r="X4" s="90">
        <f>AVERAGE(A4:R39)</f>
        <v>6458996.0128328614</v>
      </c>
      <c r="Y4" s="88">
        <f>MODE(A4:R39)</f>
        <v>292100</v>
      </c>
      <c r="Z4" s="122">
        <f>_xlfn.STDEV.P(A4:R39)</f>
        <v>15433026.061285233</v>
      </c>
    </row>
    <row r="5" spans="1:26" ht="15.5" x14ac:dyDescent="0.35">
      <c r="A5" s="4">
        <v>9074210</v>
      </c>
      <c r="B5" s="5">
        <v>56878708</v>
      </c>
      <c r="C5" s="5">
        <v>6173200</v>
      </c>
      <c r="D5" s="5">
        <v>4921120</v>
      </c>
      <c r="E5" s="5">
        <v>3297920</v>
      </c>
      <c r="F5" s="5">
        <v>5629800</v>
      </c>
      <c r="G5" s="5">
        <v>10626000</v>
      </c>
      <c r="H5" s="5">
        <v>4912400</v>
      </c>
      <c r="I5" s="5">
        <v>4852450</v>
      </c>
      <c r="J5" s="4">
        <v>10054820</v>
      </c>
      <c r="K5" s="4">
        <v>2780787</v>
      </c>
      <c r="L5" s="4">
        <v>9577515</v>
      </c>
      <c r="M5" s="5">
        <v>4102434</v>
      </c>
      <c r="N5" s="6">
        <v>5020000</v>
      </c>
      <c r="O5" s="6">
        <v>6019347</v>
      </c>
      <c r="P5" s="5">
        <v>449430</v>
      </c>
      <c r="Q5" s="6">
        <v>4906000</v>
      </c>
      <c r="R5" s="67">
        <v>4378653.4000000004</v>
      </c>
    </row>
    <row r="6" spans="1:26" ht="15.5" x14ac:dyDescent="0.35">
      <c r="A6" s="7">
        <v>26948150</v>
      </c>
      <c r="B6" s="5">
        <v>797040</v>
      </c>
      <c r="C6" s="5">
        <v>6731000</v>
      </c>
      <c r="D6" s="5">
        <v>2932500</v>
      </c>
      <c r="E6" s="5">
        <v>463332</v>
      </c>
      <c r="F6" s="5">
        <v>446680</v>
      </c>
      <c r="G6" s="5">
        <v>379387</v>
      </c>
      <c r="H6" s="5">
        <v>360000</v>
      </c>
      <c r="I6" s="5">
        <v>5154375</v>
      </c>
      <c r="J6" s="4">
        <v>2363200</v>
      </c>
      <c r="K6" s="4">
        <v>1483100</v>
      </c>
      <c r="L6" s="4">
        <v>5462050</v>
      </c>
      <c r="M6" s="6">
        <v>2060067</v>
      </c>
      <c r="N6" s="6">
        <v>5547700</v>
      </c>
      <c r="O6" s="6">
        <v>422000</v>
      </c>
      <c r="P6" s="6">
        <v>508615</v>
      </c>
      <c r="Q6" s="6">
        <v>281600</v>
      </c>
      <c r="R6" s="67">
        <v>3000000</v>
      </c>
    </row>
    <row r="7" spans="1:26" ht="15.5" x14ac:dyDescent="0.35">
      <c r="A7" s="7">
        <v>9900000</v>
      </c>
      <c r="B7" s="5">
        <v>397600</v>
      </c>
      <c r="C7" s="5">
        <v>5697546</v>
      </c>
      <c r="D7" s="5">
        <v>3305232</v>
      </c>
      <c r="E7" s="5">
        <v>460760</v>
      </c>
      <c r="F7" s="5">
        <v>4253578</v>
      </c>
      <c r="G7" s="5">
        <v>179100</v>
      </c>
      <c r="H7" s="5">
        <v>16292100</v>
      </c>
      <c r="I7" s="5">
        <v>70000</v>
      </c>
      <c r="J7" s="4">
        <v>464200</v>
      </c>
      <c r="K7" s="4">
        <v>7156930</v>
      </c>
      <c r="L7" s="4">
        <v>4904800</v>
      </c>
      <c r="M7" s="6">
        <v>646454</v>
      </c>
      <c r="N7" s="6">
        <v>281600</v>
      </c>
      <c r="O7" s="6">
        <v>274300</v>
      </c>
      <c r="P7" s="6">
        <v>4979003.5</v>
      </c>
      <c r="Q7" s="6">
        <v>3296000</v>
      </c>
      <c r="R7" s="67">
        <v>509641</v>
      </c>
    </row>
    <row r="8" spans="1:26" ht="15.5" x14ac:dyDescent="0.35">
      <c r="A8" s="7">
        <v>480000</v>
      </c>
      <c r="B8" s="5">
        <v>5750000</v>
      </c>
      <c r="C8" s="5">
        <v>5696608</v>
      </c>
      <c r="D8" s="5">
        <v>7149307</v>
      </c>
      <c r="E8" s="5">
        <v>6001936</v>
      </c>
      <c r="F8" s="5">
        <v>1334011</v>
      </c>
      <c r="G8" s="5">
        <v>10626000</v>
      </c>
      <c r="H8" s="5">
        <v>520000</v>
      </c>
      <c r="I8" s="5">
        <v>682450</v>
      </c>
      <c r="J8" s="4">
        <v>313200</v>
      </c>
      <c r="K8" s="4">
        <v>6374127</v>
      </c>
      <c r="L8" s="4">
        <v>622210</v>
      </c>
      <c r="M8" s="6">
        <v>788161</v>
      </c>
      <c r="N8" s="6">
        <v>232100</v>
      </c>
      <c r="O8" s="6">
        <v>284639</v>
      </c>
      <c r="P8" s="6">
        <v>7071200</v>
      </c>
      <c r="Q8" s="6">
        <v>5942443</v>
      </c>
      <c r="R8" s="67">
        <v>4378653.4000000004</v>
      </c>
    </row>
    <row r="9" spans="1:26" ht="15.5" x14ac:dyDescent="0.35">
      <c r="A9" s="7">
        <v>13250750</v>
      </c>
      <c r="B9" s="5">
        <v>5109500</v>
      </c>
      <c r="C9" s="5">
        <v>10878850</v>
      </c>
      <c r="D9" s="5">
        <v>5090000</v>
      </c>
      <c r="E9" s="5">
        <v>6350300</v>
      </c>
      <c r="F9" s="5">
        <v>1334011</v>
      </c>
      <c r="G9" s="5">
        <v>80076290</v>
      </c>
      <c r="H9" s="5">
        <v>360000</v>
      </c>
      <c r="I9" s="5">
        <v>6272600</v>
      </c>
      <c r="J9" s="4">
        <v>228800</v>
      </c>
      <c r="K9" s="4">
        <v>6159406</v>
      </c>
      <c r="L9" s="4">
        <v>4348562</v>
      </c>
      <c r="M9" s="6">
        <v>292100</v>
      </c>
      <c r="N9" s="7">
        <v>5385710</v>
      </c>
      <c r="O9" s="7">
        <v>320000</v>
      </c>
      <c r="P9" s="6">
        <v>6040000</v>
      </c>
      <c r="Q9" s="7">
        <v>5462000</v>
      </c>
      <c r="R9" s="67">
        <v>14030000</v>
      </c>
    </row>
    <row r="10" spans="1:26" ht="15.5" x14ac:dyDescent="0.35">
      <c r="A10" s="7">
        <v>429600</v>
      </c>
      <c r="B10" s="5">
        <v>9653153</v>
      </c>
      <c r="C10" s="5">
        <v>1948950</v>
      </c>
      <c r="D10" s="5">
        <v>292100</v>
      </c>
      <c r="E10" s="5">
        <v>5459600</v>
      </c>
      <c r="F10" s="5">
        <v>7339900</v>
      </c>
      <c r="G10" s="5">
        <v>277800</v>
      </c>
      <c r="H10" s="5">
        <v>3976800</v>
      </c>
      <c r="I10" s="5">
        <v>5570620</v>
      </c>
      <c r="J10" s="3">
        <v>64163613</v>
      </c>
      <c r="K10" s="4">
        <v>3114600</v>
      </c>
      <c r="L10" s="4">
        <v>460900</v>
      </c>
      <c r="M10" s="6">
        <v>6092500</v>
      </c>
      <c r="N10" s="7">
        <v>4356000</v>
      </c>
      <c r="O10" s="7">
        <v>5891207.5499999998</v>
      </c>
      <c r="P10" s="6">
        <v>2981400</v>
      </c>
      <c r="Q10" s="7">
        <v>6356600</v>
      </c>
      <c r="R10" s="67">
        <v>4069900</v>
      </c>
    </row>
    <row r="11" spans="1:26" ht="15.5" x14ac:dyDescent="0.35">
      <c r="A11" s="7">
        <v>6089347</v>
      </c>
      <c r="B11" s="5">
        <v>4182390</v>
      </c>
      <c r="C11" s="5">
        <v>2205750</v>
      </c>
      <c r="D11" s="5">
        <v>5345102</v>
      </c>
      <c r="E11" s="5">
        <v>4629000</v>
      </c>
      <c r="F11" s="5">
        <v>7275000</v>
      </c>
      <c r="G11" s="5">
        <v>679427</v>
      </c>
      <c r="H11" s="5">
        <v>5216300</v>
      </c>
      <c r="I11" s="5">
        <v>732000</v>
      </c>
      <c r="J11" s="4">
        <v>8206000</v>
      </c>
      <c r="K11" s="4">
        <v>3145646</v>
      </c>
      <c r="L11" s="4">
        <v>460900</v>
      </c>
      <c r="M11" s="6">
        <v>400000</v>
      </c>
      <c r="N11" s="5">
        <v>4305250</v>
      </c>
      <c r="O11" s="7">
        <v>194120</v>
      </c>
      <c r="P11" s="6">
        <v>2666800</v>
      </c>
      <c r="Q11" s="5">
        <v>5036500</v>
      </c>
      <c r="R11" s="67">
        <v>3000000</v>
      </c>
    </row>
    <row r="12" spans="1:26" ht="15.5" x14ac:dyDescent="0.35">
      <c r="A12" s="7">
        <v>4906719</v>
      </c>
      <c r="B12" s="5">
        <v>369760</v>
      </c>
      <c r="C12" s="5">
        <v>3780000</v>
      </c>
      <c r="D12" s="5">
        <v>7905185</v>
      </c>
      <c r="E12" s="5">
        <v>467947</v>
      </c>
      <c r="F12" s="5">
        <v>510075</v>
      </c>
      <c r="G12" s="5">
        <v>4629000</v>
      </c>
      <c r="H12" s="5">
        <v>439800</v>
      </c>
      <c r="I12" s="5">
        <v>6512000</v>
      </c>
      <c r="J12" s="4">
        <v>5332250</v>
      </c>
      <c r="K12" s="4">
        <v>5620000</v>
      </c>
      <c r="L12" s="4">
        <v>460900</v>
      </c>
      <c r="M12" s="6">
        <v>6152676.6900000004</v>
      </c>
      <c r="N12" s="7">
        <v>2984385</v>
      </c>
      <c r="O12" s="7">
        <v>5897517.2000000002</v>
      </c>
      <c r="P12" s="6">
        <v>5306500</v>
      </c>
      <c r="Q12" s="7">
        <v>6624000</v>
      </c>
      <c r="R12" s="67">
        <v>4865750</v>
      </c>
    </row>
    <row r="13" spans="1:26" ht="15.5" x14ac:dyDescent="0.35">
      <c r="A13" s="7">
        <v>195304</v>
      </c>
      <c r="B13" s="5">
        <v>292100</v>
      </c>
      <c r="C13" s="5">
        <v>4745190</v>
      </c>
      <c r="D13" s="5">
        <v>4298500</v>
      </c>
      <c r="E13" s="5">
        <v>472000</v>
      </c>
      <c r="F13" s="5">
        <v>761997</v>
      </c>
      <c r="G13" s="5">
        <v>5717600</v>
      </c>
      <c r="H13" s="5">
        <v>6706750</v>
      </c>
      <c r="I13" s="5">
        <v>6512000</v>
      </c>
      <c r="J13" s="4">
        <v>5347980</v>
      </c>
      <c r="K13" s="4">
        <v>12207500</v>
      </c>
      <c r="L13" s="4">
        <v>460900</v>
      </c>
      <c r="M13" s="6">
        <v>39457402.170000002</v>
      </c>
      <c r="N13" s="7">
        <v>316500</v>
      </c>
      <c r="O13" s="7">
        <v>164580</v>
      </c>
      <c r="P13" s="6">
        <v>7424800</v>
      </c>
      <c r="Q13" s="7">
        <v>5925000</v>
      </c>
      <c r="R13" s="67">
        <v>6145100</v>
      </c>
    </row>
    <row r="14" spans="1:26" ht="15.5" x14ac:dyDescent="0.35">
      <c r="A14" s="7">
        <v>220000</v>
      </c>
      <c r="B14" s="6">
        <v>6186800</v>
      </c>
      <c r="C14" s="5">
        <v>231437</v>
      </c>
      <c r="D14" s="5">
        <v>5306800</v>
      </c>
      <c r="E14" s="5">
        <v>3749500</v>
      </c>
      <c r="F14" s="5">
        <v>5726600</v>
      </c>
      <c r="G14" s="5">
        <v>5196535</v>
      </c>
      <c r="H14" s="5">
        <v>84477000</v>
      </c>
      <c r="I14" s="5">
        <v>3961000</v>
      </c>
      <c r="J14" s="4">
        <v>778400</v>
      </c>
      <c r="K14" s="4">
        <v>5620375</v>
      </c>
      <c r="L14" s="4">
        <v>55690690</v>
      </c>
      <c r="M14" s="6">
        <v>4651644</v>
      </c>
      <c r="N14" s="7">
        <v>611056</v>
      </c>
      <c r="O14" s="7">
        <v>4960000</v>
      </c>
      <c r="P14" s="6">
        <v>5550000</v>
      </c>
      <c r="Q14" s="7">
        <v>3739500</v>
      </c>
      <c r="R14" s="67">
        <v>3000000</v>
      </c>
    </row>
    <row r="15" spans="1:26" ht="15.5" x14ac:dyDescent="0.35">
      <c r="A15" s="7">
        <v>4846719.38</v>
      </c>
      <c r="B15" s="7"/>
      <c r="C15" s="5">
        <v>268890</v>
      </c>
      <c r="D15" s="5">
        <v>429250</v>
      </c>
      <c r="E15" s="5">
        <v>503100</v>
      </c>
      <c r="F15" s="5">
        <v>510075</v>
      </c>
      <c r="G15" s="5">
        <v>566400</v>
      </c>
      <c r="H15" s="7"/>
      <c r="I15" s="5">
        <v>8932000</v>
      </c>
      <c r="J15" s="4">
        <v>359200</v>
      </c>
      <c r="K15" s="4">
        <v>4039279</v>
      </c>
      <c r="L15" s="4">
        <v>820866</v>
      </c>
      <c r="M15" s="6">
        <v>6596400</v>
      </c>
      <c r="N15" s="7">
        <v>9496681</v>
      </c>
      <c r="O15" s="7">
        <v>6100000</v>
      </c>
      <c r="P15" s="6">
        <v>4305250</v>
      </c>
      <c r="Q15" s="7">
        <v>646791</v>
      </c>
      <c r="R15" s="67">
        <v>7080000</v>
      </c>
    </row>
    <row r="16" spans="1:26" ht="15.5" x14ac:dyDescent="0.35">
      <c r="A16" s="7">
        <v>4360260</v>
      </c>
      <c r="B16" s="7"/>
      <c r="C16" s="5">
        <v>455625</v>
      </c>
      <c r="D16" s="5">
        <v>5282783</v>
      </c>
      <c r="E16" s="5">
        <v>50000</v>
      </c>
      <c r="F16" s="5">
        <v>808079</v>
      </c>
      <c r="G16" s="5">
        <v>797580</v>
      </c>
      <c r="H16" s="7"/>
      <c r="I16" s="5">
        <v>4798320</v>
      </c>
      <c r="J16" s="4">
        <v>8982760</v>
      </c>
      <c r="K16" s="4">
        <v>4311335</v>
      </c>
      <c r="L16" s="5"/>
      <c r="M16" s="6">
        <v>4387518.34</v>
      </c>
      <c r="N16" s="7">
        <v>4263960</v>
      </c>
      <c r="O16" s="7">
        <v>1929075</v>
      </c>
      <c r="P16" s="6">
        <v>5386600</v>
      </c>
      <c r="Q16" s="7">
        <v>503100</v>
      </c>
      <c r="R16" s="67">
        <v>9808300</v>
      </c>
    </row>
    <row r="17" spans="1:18" ht="15.5" x14ac:dyDescent="0.35">
      <c r="A17" s="7">
        <v>3663502.5</v>
      </c>
      <c r="B17" s="7"/>
      <c r="C17" s="5">
        <v>4645000</v>
      </c>
      <c r="D17" s="5">
        <v>4956000</v>
      </c>
      <c r="E17" s="5">
        <v>559120</v>
      </c>
      <c r="F17" s="5">
        <v>5992500</v>
      </c>
      <c r="G17" s="5">
        <v>2901450</v>
      </c>
      <c r="H17" s="7"/>
      <c r="I17" s="5">
        <v>6996000</v>
      </c>
      <c r="J17" s="4">
        <v>5422366</v>
      </c>
      <c r="K17" s="4">
        <v>3739500</v>
      </c>
      <c r="L17" s="5"/>
      <c r="M17" s="6">
        <v>4287518.34</v>
      </c>
      <c r="N17" s="7">
        <v>6562500</v>
      </c>
      <c r="O17" s="5">
        <v>4672940</v>
      </c>
      <c r="P17" s="6">
        <v>5019000</v>
      </c>
      <c r="Q17" s="7">
        <v>439800</v>
      </c>
      <c r="R17" s="67">
        <v>2901450</v>
      </c>
    </row>
    <row r="18" spans="1:18" ht="15.5" x14ac:dyDescent="0.35">
      <c r="A18" s="7">
        <v>4925950</v>
      </c>
      <c r="B18" s="7"/>
      <c r="C18" s="5">
        <v>7364000</v>
      </c>
      <c r="D18" s="5">
        <v>6492000</v>
      </c>
      <c r="E18" s="5">
        <v>479763</v>
      </c>
      <c r="F18" s="5">
        <v>4676314</v>
      </c>
      <c r="G18" s="5">
        <v>5428160</v>
      </c>
      <c r="H18" s="7"/>
      <c r="I18" s="5">
        <v>561000</v>
      </c>
      <c r="J18" s="4">
        <v>5029088</v>
      </c>
      <c r="K18" s="4">
        <v>5972905</v>
      </c>
      <c r="L18" s="5"/>
      <c r="M18" s="6">
        <v>9760000</v>
      </c>
      <c r="N18" s="7">
        <v>503100</v>
      </c>
      <c r="O18" s="7">
        <v>2174105</v>
      </c>
      <c r="P18" s="6"/>
      <c r="Q18" s="7"/>
      <c r="R18" s="67">
        <v>450350</v>
      </c>
    </row>
    <row r="19" spans="1:18" ht="15.5" x14ac:dyDescent="0.35">
      <c r="A19" s="7">
        <v>4803210</v>
      </c>
      <c r="B19" s="7"/>
      <c r="C19" s="5">
        <v>1274400</v>
      </c>
      <c r="D19" s="5">
        <v>1615281</v>
      </c>
      <c r="E19" s="5">
        <v>14232500</v>
      </c>
      <c r="F19" s="5">
        <v>479890</v>
      </c>
      <c r="G19" s="5">
        <v>5020000</v>
      </c>
      <c r="H19" s="7"/>
      <c r="I19" s="5">
        <v>6840800</v>
      </c>
      <c r="J19" s="4">
        <v>4607100</v>
      </c>
      <c r="K19" s="4">
        <v>5972905</v>
      </c>
      <c r="L19" s="5"/>
      <c r="M19" s="6">
        <v>1020000</v>
      </c>
      <c r="N19" s="7">
        <v>147700</v>
      </c>
      <c r="O19" s="7">
        <v>10008899.640000001</v>
      </c>
      <c r="P19" s="6"/>
      <c r="Q19" s="7"/>
      <c r="R19" s="67">
        <v>397600</v>
      </c>
    </row>
    <row r="20" spans="1:18" x14ac:dyDescent="0.35">
      <c r="A20" s="7">
        <v>471344.5</v>
      </c>
      <c r="B20" s="7"/>
      <c r="C20" s="5">
        <v>426000</v>
      </c>
      <c r="D20" s="7"/>
      <c r="E20" s="5">
        <v>461661</v>
      </c>
      <c r="F20" s="5">
        <v>2025600</v>
      </c>
      <c r="G20" s="5">
        <v>4168204</v>
      </c>
      <c r="H20" s="7"/>
      <c r="I20" s="5">
        <v>4856400</v>
      </c>
      <c r="J20" s="4">
        <v>207700</v>
      </c>
      <c r="K20" s="4">
        <v>4066956</v>
      </c>
      <c r="L20" s="5"/>
      <c r="M20" s="6">
        <v>844000</v>
      </c>
      <c r="N20" s="7">
        <v>5768000</v>
      </c>
      <c r="O20" s="7">
        <v>5899392</v>
      </c>
      <c r="P20" s="6"/>
      <c r="Q20" s="7"/>
      <c r="R20" s="7"/>
    </row>
    <row r="21" spans="1:18" x14ac:dyDescent="0.35">
      <c r="A21" s="7">
        <v>106178080</v>
      </c>
      <c r="B21" s="7"/>
      <c r="C21" s="7"/>
      <c r="D21" s="7"/>
      <c r="E21" s="5">
        <v>15020000</v>
      </c>
      <c r="F21" s="5">
        <v>7170324.6100000003</v>
      </c>
      <c r="G21" s="5">
        <v>4168204</v>
      </c>
      <c r="H21" s="7"/>
      <c r="I21" s="5">
        <v>726444</v>
      </c>
      <c r="J21" s="4">
        <v>4530652</v>
      </c>
      <c r="K21" s="4">
        <v>5930434</v>
      </c>
      <c r="L21" s="7"/>
      <c r="M21" s="6">
        <v>1202668.75</v>
      </c>
      <c r="N21" s="7"/>
      <c r="O21" s="7">
        <v>449641</v>
      </c>
      <c r="P21" s="6"/>
      <c r="Q21" s="7"/>
      <c r="R21" s="7"/>
    </row>
    <row r="22" spans="1:18" x14ac:dyDescent="0.35">
      <c r="A22" s="7">
        <v>376500</v>
      </c>
      <c r="B22" s="7"/>
      <c r="C22" s="7"/>
      <c r="D22" s="7"/>
      <c r="E22" s="7"/>
      <c r="F22" s="5">
        <v>418700</v>
      </c>
      <c r="G22" s="5">
        <v>5428160</v>
      </c>
      <c r="H22" s="7"/>
      <c r="I22" s="5">
        <v>550786</v>
      </c>
      <c r="J22" s="4">
        <v>27248100</v>
      </c>
      <c r="K22" s="4">
        <v>7166086</v>
      </c>
      <c r="L22" s="7"/>
      <c r="M22" s="6">
        <v>3701450</v>
      </c>
      <c r="N22" s="7"/>
      <c r="O22" s="7">
        <v>844000</v>
      </c>
      <c r="P22" s="6"/>
      <c r="Q22" s="7"/>
      <c r="R22" s="7"/>
    </row>
    <row r="23" spans="1:18" x14ac:dyDescent="0.35">
      <c r="A23" s="7">
        <v>482000</v>
      </c>
      <c r="B23" s="7"/>
      <c r="C23" s="7"/>
      <c r="D23" s="7"/>
      <c r="E23" s="7"/>
      <c r="F23" s="7"/>
      <c r="G23" s="7"/>
      <c r="H23" s="7"/>
      <c r="I23" s="5">
        <v>237240</v>
      </c>
      <c r="J23" s="4">
        <v>37939050</v>
      </c>
      <c r="K23" s="4">
        <v>313200</v>
      </c>
      <c r="L23" s="7"/>
      <c r="M23" s="6">
        <v>352000</v>
      </c>
      <c r="N23" s="7"/>
      <c r="O23" s="7"/>
      <c r="P23" s="6"/>
      <c r="Q23" s="7"/>
      <c r="R23" s="7"/>
    </row>
    <row r="24" spans="1:18" x14ac:dyDescent="0.35">
      <c r="A24" s="7">
        <v>228800</v>
      </c>
      <c r="B24" s="7"/>
      <c r="C24" s="7"/>
      <c r="D24" s="7"/>
      <c r="E24" s="7"/>
      <c r="F24" s="7"/>
      <c r="G24" s="7"/>
      <c r="H24" s="7"/>
      <c r="I24" s="5">
        <v>242304</v>
      </c>
      <c r="J24" s="4">
        <v>59811350</v>
      </c>
      <c r="K24" s="4">
        <v>11082500</v>
      </c>
      <c r="L24" s="7"/>
      <c r="M24" s="6">
        <v>3750000</v>
      </c>
      <c r="N24" s="7"/>
      <c r="O24" s="7"/>
      <c r="P24" s="6"/>
      <c r="Q24" s="7"/>
      <c r="R24" s="7"/>
    </row>
    <row r="25" spans="1:18" x14ac:dyDescent="0.35">
      <c r="A25" s="7">
        <v>4488060</v>
      </c>
      <c r="B25" s="7"/>
      <c r="C25" s="7"/>
      <c r="D25" s="7"/>
      <c r="E25" s="7"/>
      <c r="F25" s="7"/>
      <c r="G25" s="7"/>
      <c r="H25" s="7"/>
      <c r="I25" s="5">
        <v>3576220</v>
      </c>
      <c r="J25" s="4">
        <v>439800</v>
      </c>
      <c r="K25" s="4">
        <v>5184000</v>
      </c>
      <c r="L25" s="7"/>
      <c r="M25" s="7"/>
      <c r="N25" s="7"/>
      <c r="O25" s="7"/>
      <c r="P25" s="7"/>
      <c r="Q25" s="7"/>
      <c r="R25" s="7"/>
    </row>
    <row r="26" spans="1:18" x14ac:dyDescent="0.35">
      <c r="A26" s="7">
        <v>7037000</v>
      </c>
      <c r="B26" s="7"/>
      <c r="C26" s="7"/>
      <c r="D26" s="7"/>
      <c r="E26" s="7"/>
      <c r="F26" s="7"/>
      <c r="G26" s="7"/>
      <c r="H26" s="7"/>
      <c r="I26" s="5">
        <v>237240</v>
      </c>
      <c r="J26" s="4">
        <v>207700</v>
      </c>
      <c r="K26" s="4">
        <v>629700</v>
      </c>
      <c r="L26" s="7"/>
      <c r="M26" s="7"/>
      <c r="N26" s="7"/>
      <c r="O26" s="7"/>
      <c r="P26" s="7"/>
      <c r="Q26" s="7"/>
      <c r="R26" s="7"/>
    </row>
    <row r="27" spans="1:18" x14ac:dyDescent="0.35">
      <c r="A27" s="7">
        <v>4488060</v>
      </c>
      <c r="B27" s="7"/>
      <c r="C27" s="7"/>
      <c r="D27" s="7"/>
      <c r="E27" s="7"/>
      <c r="F27" s="7"/>
      <c r="G27" s="7"/>
      <c r="H27" s="7"/>
      <c r="I27" s="5">
        <v>242304</v>
      </c>
      <c r="J27" s="4">
        <v>207700</v>
      </c>
      <c r="K27" s="4">
        <v>158340</v>
      </c>
      <c r="L27" s="7"/>
      <c r="M27" s="7"/>
      <c r="N27" s="7"/>
      <c r="O27" s="7"/>
      <c r="P27" s="7"/>
      <c r="Q27" s="7"/>
      <c r="R27" s="7"/>
    </row>
    <row r="28" spans="1:18" x14ac:dyDescent="0.35">
      <c r="A28" s="7">
        <v>292100</v>
      </c>
      <c r="B28" s="7"/>
      <c r="C28" s="7"/>
      <c r="D28" s="7"/>
      <c r="E28" s="7"/>
      <c r="F28" s="7"/>
      <c r="G28" s="7"/>
      <c r="H28" s="7"/>
      <c r="I28" s="5">
        <v>9495800</v>
      </c>
      <c r="J28" s="4">
        <v>460000</v>
      </c>
      <c r="K28" s="7"/>
      <c r="L28" s="7"/>
      <c r="M28" s="7"/>
      <c r="N28" s="7"/>
      <c r="O28" s="7"/>
      <c r="P28" s="7"/>
      <c r="Q28" s="7"/>
      <c r="R28" s="7"/>
    </row>
    <row r="29" spans="1:18" x14ac:dyDescent="0.35">
      <c r="A29" s="7">
        <v>4565500</v>
      </c>
      <c r="B29" s="7"/>
      <c r="C29" s="7"/>
      <c r="D29" s="7"/>
      <c r="E29" s="7"/>
      <c r="F29" s="7"/>
      <c r="G29" s="7"/>
      <c r="H29" s="7"/>
      <c r="I29" s="5">
        <v>9853960</v>
      </c>
      <c r="J29" s="4">
        <v>365950</v>
      </c>
      <c r="K29" s="7"/>
      <c r="L29" s="7"/>
      <c r="M29" s="7"/>
      <c r="N29" s="7"/>
      <c r="O29" s="7"/>
      <c r="P29" s="7"/>
      <c r="Q29" s="7"/>
      <c r="R29" s="7"/>
    </row>
    <row r="30" spans="1:18" x14ac:dyDescent="0.35">
      <c r="A30" s="7">
        <v>4522000</v>
      </c>
      <c r="B30" s="7"/>
      <c r="C30" s="7"/>
      <c r="D30" s="7"/>
      <c r="E30" s="7"/>
      <c r="F30" s="7"/>
      <c r="G30" s="7"/>
      <c r="H30" s="7"/>
      <c r="I30" s="5">
        <v>9853960</v>
      </c>
      <c r="J30" s="4">
        <v>397600</v>
      </c>
      <c r="K30" s="7"/>
      <c r="L30" s="7"/>
      <c r="M30" s="7"/>
      <c r="N30" s="7"/>
      <c r="O30" s="7"/>
      <c r="P30" s="7"/>
      <c r="Q30" s="7"/>
      <c r="R30" s="7"/>
    </row>
    <row r="31" spans="1:18" x14ac:dyDescent="0.35">
      <c r="A31" s="7">
        <v>3715400</v>
      </c>
      <c r="B31" s="7"/>
      <c r="C31" s="7"/>
      <c r="D31" s="7"/>
      <c r="E31" s="7"/>
      <c r="F31" s="7"/>
      <c r="G31" s="7"/>
      <c r="H31" s="7"/>
      <c r="I31" s="5">
        <v>9054400</v>
      </c>
      <c r="J31" s="4">
        <v>292100</v>
      </c>
      <c r="K31" s="7"/>
      <c r="L31" s="7"/>
      <c r="M31" s="7"/>
      <c r="N31" s="7"/>
      <c r="O31" s="7"/>
      <c r="P31" s="7"/>
      <c r="Q31" s="7"/>
      <c r="R31" s="7"/>
    </row>
    <row r="32" spans="1:18" x14ac:dyDescent="0.35">
      <c r="A32" s="7">
        <v>49750638</v>
      </c>
      <c r="B32" s="7"/>
      <c r="C32" s="7"/>
      <c r="D32" s="7"/>
      <c r="E32" s="7"/>
      <c r="F32" s="7"/>
      <c r="G32" s="7"/>
      <c r="H32" s="7"/>
      <c r="I32" s="5">
        <v>11226100</v>
      </c>
      <c r="J32" s="4">
        <v>258000</v>
      </c>
      <c r="K32" s="7"/>
      <c r="L32" s="7"/>
      <c r="M32" s="7"/>
      <c r="N32" s="7"/>
      <c r="O32" s="7"/>
      <c r="P32" s="7"/>
      <c r="Q32" s="7"/>
      <c r="R32" s="7"/>
    </row>
    <row r="33" spans="1:18" x14ac:dyDescent="0.35">
      <c r="A33" s="7">
        <v>313200</v>
      </c>
      <c r="B33" s="7"/>
      <c r="C33" s="7"/>
      <c r="D33" s="7"/>
      <c r="E33" s="7"/>
      <c r="F33" s="7"/>
      <c r="G33" s="7"/>
      <c r="H33" s="7"/>
      <c r="I33" s="5">
        <v>3761000</v>
      </c>
      <c r="J33" s="4">
        <v>5302000</v>
      </c>
      <c r="K33" s="7"/>
      <c r="L33" s="7"/>
      <c r="M33" s="7"/>
      <c r="N33" s="7"/>
      <c r="O33" s="7"/>
      <c r="P33" s="7"/>
      <c r="Q33" s="7"/>
      <c r="R33" s="7"/>
    </row>
    <row r="34" spans="1:18" x14ac:dyDescent="0.35">
      <c r="A34" s="7">
        <v>904000</v>
      </c>
      <c r="B34" s="7"/>
      <c r="C34" s="7"/>
      <c r="D34" s="7"/>
      <c r="E34" s="7"/>
      <c r="F34" s="7"/>
      <c r="G34" s="7"/>
      <c r="H34" s="7"/>
      <c r="I34" s="5">
        <v>4196157</v>
      </c>
      <c r="J34" s="4">
        <v>726444</v>
      </c>
      <c r="K34" s="7"/>
      <c r="L34" s="7"/>
      <c r="M34" s="7"/>
      <c r="N34" s="7"/>
      <c r="O34" s="7"/>
      <c r="P34" s="7"/>
      <c r="Q34" s="7"/>
      <c r="R34" s="7"/>
    </row>
    <row r="35" spans="1:18" x14ac:dyDescent="0.35">
      <c r="A35" s="7">
        <v>458579</v>
      </c>
      <c r="B35" s="7"/>
      <c r="C35" s="7"/>
      <c r="D35" s="7"/>
      <c r="E35" s="7"/>
      <c r="F35" s="7"/>
      <c r="G35" s="7"/>
      <c r="H35" s="7"/>
      <c r="I35" s="5">
        <v>1601800</v>
      </c>
      <c r="J35" s="4">
        <v>749250</v>
      </c>
      <c r="K35" s="7"/>
      <c r="L35" s="7"/>
      <c r="M35" s="7"/>
      <c r="N35" s="7"/>
      <c r="O35" s="7"/>
      <c r="P35" s="7"/>
      <c r="Q35" s="7"/>
      <c r="R35" s="7"/>
    </row>
    <row r="36" spans="1:18" x14ac:dyDescent="0.35">
      <c r="A36" s="7">
        <v>5089000</v>
      </c>
      <c r="B36" s="7"/>
      <c r="C36" s="7"/>
      <c r="D36" s="7"/>
      <c r="E36" s="7"/>
      <c r="F36" s="7"/>
      <c r="G36" s="7"/>
      <c r="H36" s="7"/>
      <c r="I36" s="5">
        <v>767483</v>
      </c>
      <c r="J36" s="4">
        <v>4614121.5599999996</v>
      </c>
      <c r="K36" s="7"/>
      <c r="L36" s="7"/>
      <c r="M36" s="7"/>
      <c r="N36" s="7"/>
      <c r="O36" s="7"/>
      <c r="P36" s="7"/>
      <c r="Q36" s="7"/>
      <c r="R36" s="7"/>
    </row>
    <row r="37" spans="1:18" x14ac:dyDescent="0.35">
      <c r="A37" s="7">
        <v>2951820</v>
      </c>
      <c r="B37" s="7"/>
      <c r="C37" s="7"/>
      <c r="D37" s="7"/>
      <c r="E37" s="7"/>
      <c r="F37" s="7"/>
      <c r="G37" s="7"/>
      <c r="H37" s="7"/>
      <c r="I37" s="5">
        <v>344850</v>
      </c>
      <c r="J37" s="4">
        <v>649112</v>
      </c>
      <c r="K37" s="7"/>
      <c r="L37" s="7"/>
      <c r="M37" s="7"/>
      <c r="N37" s="7"/>
      <c r="O37" s="7"/>
      <c r="P37" s="7"/>
      <c r="Q37" s="7"/>
      <c r="R37" s="7"/>
    </row>
    <row r="38" spans="1:18" x14ac:dyDescent="0.35">
      <c r="A38" s="7">
        <f>468214+80514</f>
        <v>548728</v>
      </c>
      <c r="B38" s="7"/>
      <c r="C38" s="7"/>
      <c r="D38" s="7"/>
      <c r="E38" s="7"/>
      <c r="F38" s="7"/>
      <c r="G38" s="7"/>
      <c r="H38" s="7"/>
      <c r="I38" s="5">
        <v>19792600</v>
      </c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35">
      <c r="A39" s="7">
        <v>488035</v>
      </c>
      <c r="B39" s="7"/>
      <c r="C39" s="7"/>
      <c r="D39" s="7"/>
      <c r="E39" s="7"/>
      <c r="F39" s="7"/>
      <c r="G39" s="7"/>
      <c r="H39" s="7"/>
      <c r="I39" s="5">
        <v>2363200</v>
      </c>
      <c r="J39" s="7"/>
      <c r="K39" s="7"/>
      <c r="L39" s="7"/>
      <c r="M39" s="4"/>
      <c r="N39" s="5"/>
      <c r="O39" s="5"/>
      <c r="P39" s="4"/>
      <c r="Q39" s="5"/>
      <c r="R39" s="5"/>
    </row>
    <row r="40" spans="1:18" s="73" customFormat="1" x14ac:dyDescent="0.35">
      <c r="A40" s="72">
        <f t="shared" ref="A40:O40" si="0">SUM(A4:A39)</f>
        <v>291922566.38</v>
      </c>
      <c r="B40" s="72">
        <f t="shared" si="0"/>
        <v>184554129</v>
      </c>
      <c r="C40" s="72">
        <f t="shared" si="0"/>
        <v>66362446</v>
      </c>
      <c r="D40" s="72">
        <f t="shared" si="0"/>
        <v>69966160</v>
      </c>
      <c r="E40" s="72">
        <f t="shared" si="0"/>
        <v>69012958</v>
      </c>
      <c r="F40" s="72">
        <f t="shared" si="0"/>
        <v>57359759.609999999</v>
      </c>
      <c r="G40" s="72">
        <f t="shared" si="0"/>
        <v>156485297</v>
      </c>
      <c r="H40" s="72">
        <f t="shared" si="0"/>
        <v>134354150</v>
      </c>
      <c r="I40" s="72">
        <f t="shared" si="0"/>
        <v>161427863</v>
      </c>
      <c r="J40" s="72">
        <f t="shared" si="0"/>
        <v>275434406.56</v>
      </c>
      <c r="K40" s="72">
        <f t="shared" si="0"/>
        <v>299304402</v>
      </c>
      <c r="L40" s="72">
        <f t="shared" si="0"/>
        <v>97290293</v>
      </c>
      <c r="M40" s="72">
        <f t="shared" si="0"/>
        <v>101167203.29000001</v>
      </c>
      <c r="N40" s="72">
        <f t="shared" si="0"/>
        <v>56719742</v>
      </c>
      <c r="O40" s="72">
        <f t="shared" si="0"/>
        <v>66688263.390000001</v>
      </c>
      <c r="P40" s="84">
        <f t="shared" ref="P40:Q40" si="1">SUM(P4:P39)</f>
        <v>57962898.5</v>
      </c>
      <c r="Q40" s="84">
        <f t="shared" si="1"/>
        <v>55407937</v>
      </c>
      <c r="R40" s="84">
        <f>SUM(R4:R39)</f>
        <v>78605117.799999997</v>
      </c>
    </row>
    <row r="42" spans="1:18" x14ac:dyDescent="0.35">
      <c r="M42" s="1"/>
    </row>
  </sheetData>
  <mergeCells count="1">
    <mergeCell ref="A1:O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8BC5-7AD7-4E10-B3C3-9582B5D2DDE1}">
  <dimension ref="A1:X84"/>
  <sheetViews>
    <sheetView tabSelected="1" zoomScale="37" zoomScaleNormal="44" workbookViewId="0">
      <selection activeCell="H63" sqref="H63"/>
    </sheetView>
  </sheetViews>
  <sheetFormatPr defaultRowHeight="14" x14ac:dyDescent="0.3"/>
  <cols>
    <col min="1" max="1" width="20.26953125" style="21" customWidth="1"/>
    <col min="2" max="2" width="19.1796875" style="21" customWidth="1"/>
    <col min="3" max="3" width="18.7265625" style="21" customWidth="1"/>
    <col min="4" max="4" width="8.7265625" style="21" customWidth="1"/>
    <col min="5" max="5" width="8.7265625" style="21"/>
    <col min="6" max="6" width="14.81640625" style="21" customWidth="1"/>
    <col min="7" max="7" width="15.26953125" style="21" customWidth="1"/>
    <col min="8" max="8" width="16.36328125" style="21" customWidth="1"/>
    <col min="9" max="9" width="16.08984375" style="21" customWidth="1"/>
    <col min="10" max="10" width="17.6328125" style="21" customWidth="1"/>
    <col min="11" max="11" width="16.6328125" style="21" customWidth="1"/>
    <col min="12" max="12" width="16.36328125" style="21" customWidth="1"/>
    <col min="13" max="13" width="19.26953125" style="21" customWidth="1"/>
    <col min="14" max="14" width="15.6328125" style="21" customWidth="1"/>
    <col min="15" max="15" width="14.81640625" style="21" customWidth="1"/>
    <col min="16" max="16" width="15.36328125" style="21" customWidth="1"/>
    <col min="17" max="17" width="15.7265625" style="21" customWidth="1"/>
    <col min="18" max="18" width="15.6328125" style="21" customWidth="1"/>
    <col min="19" max="19" width="15.81640625" style="21" customWidth="1"/>
    <col min="20" max="20" width="14.81640625" style="21" customWidth="1"/>
    <col min="21" max="21" width="16.54296875" style="21" customWidth="1"/>
    <col min="22" max="22" width="18.6328125" style="21" customWidth="1"/>
    <col min="23" max="23" width="19.6328125" style="21" customWidth="1"/>
    <col min="24" max="24" width="18.81640625" style="21" customWidth="1"/>
    <col min="25" max="16384" width="8.7265625" style="21"/>
  </cols>
  <sheetData>
    <row r="1" spans="1:24" x14ac:dyDescent="0.3">
      <c r="A1" s="143" t="s">
        <v>15</v>
      </c>
      <c r="B1" s="143"/>
      <c r="C1" s="143"/>
    </row>
    <row r="2" spans="1:24" x14ac:dyDescent="0.3">
      <c r="A2" s="8" t="s">
        <v>16</v>
      </c>
      <c r="B2" s="9" t="s">
        <v>17</v>
      </c>
      <c r="C2" s="10" t="s">
        <v>18</v>
      </c>
      <c r="F2" s="144" t="s">
        <v>19</v>
      </c>
      <c r="G2" s="146" t="s">
        <v>20</v>
      </c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</row>
    <row r="3" spans="1:24" ht="15.5" x14ac:dyDescent="0.3">
      <c r="A3" s="11">
        <v>45302</v>
      </c>
      <c r="B3" s="11">
        <v>45294</v>
      </c>
      <c r="C3" s="12">
        <v>3000000</v>
      </c>
      <c r="F3" s="145"/>
      <c r="G3" s="22">
        <v>45292</v>
      </c>
      <c r="H3" s="22">
        <v>45323</v>
      </c>
      <c r="I3" s="22">
        <v>45352</v>
      </c>
      <c r="J3" s="22">
        <v>45383</v>
      </c>
      <c r="K3" s="22">
        <v>45413</v>
      </c>
      <c r="L3" s="22">
        <v>45444</v>
      </c>
      <c r="M3" s="22">
        <v>45474</v>
      </c>
      <c r="N3" s="22">
        <v>45505</v>
      </c>
      <c r="O3" s="22">
        <v>45536</v>
      </c>
      <c r="P3" s="22">
        <v>45566</v>
      </c>
      <c r="Q3" s="22">
        <v>45597</v>
      </c>
      <c r="R3" s="22">
        <v>45627</v>
      </c>
      <c r="S3" s="22">
        <v>45658</v>
      </c>
      <c r="T3" s="22">
        <v>45689</v>
      </c>
      <c r="U3" s="22">
        <v>45717</v>
      </c>
      <c r="V3" s="22">
        <v>45748</v>
      </c>
      <c r="W3" s="22">
        <v>45778</v>
      </c>
      <c r="X3" s="22">
        <v>45809</v>
      </c>
    </row>
    <row r="4" spans="1:24" ht="15.5" x14ac:dyDescent="0.3">
      <c r="A4" s="11">
        <v>45306</v>
      </c>
      <c r="B4" s="11">
        <v>45297</v>
      </c>
      <c r="C4" s="12">
        <v>2000000</v>
      </c>
      <c r="F4" s="23">
        <v>45292</v>
      </c>
      <c r="G4" s="15">
        <v>5000000</v>
      </c>
      <c r="H4" s="15">
        <v>7137616</v>
      </c>
      <c r="I4" s="14"/>
      <c r="J4" s="17"/>
      <c r="K4" s="17"/>
      <c r="L4" s="17"/>
      <c r="M4" s="19">
        <v>122500000</v>
      </c>
      <c r="N4" s="19"/>
      <c r="O4" s="19"/>
      <c r="P4" s="17"/>
      <c r="Q4" s="17"/>
      <c r="R4" s="17"/>
      <c r="S4" s="14"/>
      <c r="T4" s="14"/>
      <c r="U4" s="14"/>
      <c r="V4" s="77"/>
      <c r="W4" s="77"/>
      <c r="X4" s="77"/>
    </row>
    <row r="5" spans="1:24" ht="15.5" x14ac:dyDescent="0.3">
      <c r="A5" s="11">
        <v>45341</v>
      </c>
      <c r="B5" s="11">
        <v>45305</v>
      </c>
      <c r="C5" s="12">
        <v>7137616</v>
      </c>
      <c r="F5" s="23">
        <v>45323</v>
      </c>
      <c r="G5" s="14"/>
      <c r="H5" s="14">
        <v>42950003</v>
      </c>
      <c r="I5" s="15">
        <v>534170</v>
      </c>
      <c r="J5" s="16">
        <v>9928518</v>
      </c>
      <c r="K5" s="16">
        <v>1180575</v>
      </c>
      <c r="L5" s="17"/>
      <c r="M5" s="19"/>
      <c r="N5" s="19"/>
      <c r="O5" s="19"/>
      <c r="P5" s="17"/>
      <c r="Q5" s="17"/>
      <c r="R5" s="17"/>
      <c r="S5" s="14"/>
      <c r="T5" s="14"/>
      <c r="U5" s="14"/>
      <c r="V5" s="77"/>
      <c r="W5" s="77"/>
      <c r="X5" s="77"/>
    </row>
    <row r="6" spans="1:24" ht="15.5" x14ac:dyDescent="0.3">
      <c r="A6" s="11">
        <v>45495</v>
      </c>
      <c r="B6" s="11">
        <v>45311</v>
      </c>
      <c r="C6" s="12">
        <f>29809000+64423085</f>
        <v>94232085</v>
      </c>
      <c r="F6" s="23">
        <v>45352</v>
      </c>
      <c r="G6" s="14"/>
      <c r="H6" s="14"/>
      <c r="I6" s="14"/>
      <c r="J6" s="16">
        <v>13331739</v>
      </c>
      <c r="K6" s="17">
        <v>6247040</v>
      </c>
      <c r="L6" s="17"/>
      <c r="M6" s="19"/>
      <c r="N6" s="19"/>
      <c r="O6" s="19"/>
      <c r="P6" s="17"/>
      <c r="Q6" s="17"/>
      <c r="R6" s="17"/>
      <c r="S6" s="14"/>
      <c r="T6" s="14"/>
      <c r="U6" s="14"/>
      <c r="V6" s="77"/>
      <c r="W6" s="77"/>
      <c r="X6" s="77"/>
    </row>
    <row r="7" spans="1:24" ht="15.5" x14ac:dyDescent="0.3">
      <c r="A7" s="11">
        <v>45501</v>
      </c>
      <c r="B7" s="11">
        <v>45313</v>
      </c>
      <c r="C7" s="12">
        <v>28267915</v>
      </c>
      <c r="F7" s="24">
        <v>45383</v>
      </c>
      <c r="G7" s="13"/>
      <c r="H7" s="13"/>
      <c r="I7" s="13"/>
      <c r="J7" s="14">
        <v>6700000</v>
      </c>
      <c r="K7" s="15">
        <v>15597640</v>
      </c>
      <c r="L7" s="14">
        <v>10189219</v>
      </c>
      <c r="M7" s="17"/>
      <c r="N7" s="17"/>
      <c r="O7" s="17"/>
      <c r="P7" s="20"/>
      <c r="Q7" s="20"/>
      <c r="R7" s="20"/>
      <c r="S7" s="17"/>
      <c r="T7" s="17"/>
      <c r="U7" s="17"/>
      <c r="V7" s="75"/>
      <c r="W7" s="75"/>
      <c r="X7" s="75"/>
    </row>
    <row r="8" spans="1:24" ht="15.5" x14ac:dyDescent="0.3">
      <c r="A8" s="11">
        <v>45350</v>
      </c>
      <c r="B8" s="11">
        <v>45339</v>
      </c>
      <c r="C8" s="12">
        <v>42950003</v>
      </c>
      <c r="F8" s="24">
        <v>45413</v>
      </c>
      <c r="G8" s="13"/>
      <c r="H8" s="13"/>
      <c r="I8" s="13"/>
      <c r="J8" s="14"/>
      <c r="K8" s="14"/>
      <c r="L8" s="14">
        <v>1873260</v>
      </c>
      <c r="M8" s="17">
        <v>35669029</v>
      </c>
      <c r="N8" s="17"/>
      <c r="O8" s="17"/>
      <c r="P8" s="20"/>
      <c r="Q8" s="20"/>
      <c r="R8" s="20"/>
      <c r="S8" s="17">
        <v>3250000</v>
      </c>
      <c r="T8" s="17"/>
      <c r="U8" s="17"/>
      <c r="V8" s="75"/>
      <c r="W8" s="75"/>
      <c r="X8" s="75"/>
    </row>
    <row r="9" spans="1:24" ht="15.5" x14ac:dyDescent="0.3">
      <c r="A9" s="11">
        <v>45371</v>
      </c>
      <c r="B9" s="11">
        <v>45341</v>
      </c>
      <c r="C9" s="12">
        <v>534170</v>
      </c>
      <c r="F9" s="24">
        <v>45444</v>
      </c>
      <c r="G9" s="13"/>
      <c r="H9" s="13"/>
      <c r="I9" s="13"/>
      <c r="J9" s="14"/>
      <c r="K9" s="14"/>
      <c r="L9" s="14"/>
      <c r="M9" s="17">
        <v>4500000</v>
      </c>
      <c r="N9" s="17">
        <v>11459108</v>
      </c>
      <c r="O9" s="17"/>
      <c r="P9" s="20"/>
      <c r="Q9" s="20"/>
      <c r="R9" s="20"/>
      <c r="S9" s="17"/>
      <c r="T9" s="17"/>
      <c r="U9" s="28">
        <v>1863750</v>
      </c>
      <c r="V9" s="75"/>
      <c r="W9" s="75"/>
      <c r="X9" s="75"/>
    </row>
    <row r="10" spans="1:24" ht="15.5" x14ac:dyDescent="0.3">
      <c r="A10" s="11">
        <v>45385</v>
      </c>
      <c r="B10" s="11">
        <v>45355</v>
      </c>
      <c r="C10" s="12">
        <v>13331739</v>
      </c>
      <c r="F10" s="23">
        <v>45474</v>
      </c>
      <c r="G10" s="13"/>
      <c r="H10" s="13"/>
      <c r="I10" s="13"/>
      <c r="J10" s="13"/>
      <c r="K10" s="13"/>
      <c r="L10" s="13"/>
      <c r="M10" s="14">
        <v>934638</v>
      </c>
      <c r="N10" s="14">
        <v>17460200</v>
      </c>
      <c r="O10" s="14">
        <v>37281107</v>
      </c>
      <c r="P10" s="17"/>
      <c r="Q10" s="17"/>
      <c r="R10" s="17"/>
      <c r="S10" s="20"/>
      <c r="T10" s="20"/>
      <c r="U10" s="20"/>
      <c r="V10" s="77"/>
      <c r="W10" s="77"/>
      <c r="X10" s="77"/>
    </row>
    <row r="11" spans="1:24" ht="15.5" x14ac:dyDescent="0.3">
      <c r="A11" s="11">
        <v>45404</v>
      </c>
      <c r="B11" s="11">
        <v>45325</v>
      </c>
      <c r="C11" s="12">
        <v>7928518</v>
      </c>
      <c r="F11" s="23">
        <v>45505</v>
      </c>
      <c r="G11" s="13"/>
      <c r="H11" s="13"/>
      <c r="I11" s="13"/>
      <c r="J11" s="13"/>
      <c r="K11" s="13"/>
      <c r="L11" s="13"/>
      <c r="M11" s="14"/>
      <c r="N11" s="14">
        <v>728790</v>
      </c>
      <c r="O11" s="14">
        <v>11960178</v>
      </c>
      <c r="P11" s="17">
        <v>29390042</v>
      </c>
      <c r="Q11" s="17"/>
      <c r="R11" s="17"/>
      <c r="S11" s="20"/>
      <c r="T11" s="20"/>
      <c r="U11" s="20"/>
      <c r="V11" s="77"/>
      <c r="W11" s="77"/>
      <c r="X11" s="77"/>
    </row>
    <row r="12" spans="1:24" ht="15.5" x14ac:dyDescent="0.3">
      <c r="A12" s="11">
        <v>45412</v>
      </c>
      <c r="B12" s="11">
        <v>45383</v>
      </c>
      <c r="C12" s="12">
        <v>4000000</v>
      </c>
      <c r="F12" s="23">
        <v>45536</v>
      </c>
      <c r="G12" s="13"/>
      <c r="H12" s="13"/>
      <c r="I12" s="13"/>
      <c r="J12" s="13"/>
      <c r="K12" s="13"/>
      <c r="L12" s="13"/>
      <c r="M12" s="14"/>
      <c r="N12" s="14"/>
      <c r="O12" s="14"/>
      <c r="P12" s="17">
        <v>22214203</v>
      </c>
      <c r="Q12" s="17">
        <v>24428300</v>
      </c>
      <c r="R12" s="17"/>
      <c r="S12" s="20"/>
      <c r="T12" s="20"/>
      <c r="U12" s="20"/>
      <c r="V12" s="77"/>
      <c r="W12" s="77"/>
      <c r="X12" s="77"/>
    </row>
    <row r="13" spans="1:24" ht="15.5" x14ac:dyDescent="0.3">
      <c r="A13" s="11">
        <v>45412</v>
      </c>
      <c r="B13" s="11">
        <v>45384</v>
      </c>
      <c r="C13" s="12">
        <v>2700000</v>
      </c>
      <c r="F13" s="24">
        <v>45566</v>
      </c>
      <c r="G13" s="13"/>
      <c r="H13" s="13"/>
      <c r="I13" s="13"/>
      <c r="J13" s="13"/>
      <c r="K13" s="13"/>
      <c r="L13" s="13"/>
      <c r="M13" s="13"/>
      <c r="N13" s="13"/>
      <c r="O13" s="13"/>
      <c r="P13" s="14">
        <v>3647000</v>
      </c>
      <c r="Q13" s="14">
        <v>19419733</v>
      </c>
      <c r="R13" s="14">
        <v>8417325</v>
      </c>
      <c r="S13" s="17"/>
      <c r="T13" s="17"/>
      <c r="U13" s="17">
        <v>82089722</v>
      </c>
      <c r="V13" s="75"/>
      <c r="W13" s="75"/>
      <c r="X13" s="75"/>
    </row>
    <row r="14" spans="1:24" ht="15.5" x14ac:dyDescent="0.3">
      <c r="A14" s="11">
        <v>45412</v>
      </c>
      <c r="B14" s="11">
        <v>45333</v>
      </c>
      <c r="C14" s="12">
        <v>2000000</v>
      </c>
      <c r="F14" s="24">
        <v>45597</v>
      </c>
      <c r="G14" s="13"/>
      <c r="H14" s="13"/>
      <c r="I14" s="13"/>
      <c r="J14" s="13"/>
      <c r="K14" s="13"/>
      <c r="L14" s="13"/>
      <c r="M14" s="13"/>
      <c r="N14" s="13"/>
      <c r="O14" s="13"/>
      <c r="P14" s="14"/>
      <c r="Q14" s="14">
        <v>148200</v>
      </c>
      <c r="R14" s="14"/>
      <c r="S14" s="17">
        <v>15450530</v>
      </c>
      <c r="T14" s="17">
        <v>101423278</v>
      </c>
      <c r="U14" s="17">
        <v>3399750</v>
      </c>
      <c r="V14" s="75"/>
      <c r="W14" s="76">
        <f>C81+C82</f>
        <v>35280392</v>
      </c>
      <c r="X14" s="75"/>
    </row>
    <row r="15" spans="1:24" ht="15.5" x14ac:dyDescent="0.3">
      <c r="A15" s="11">
        <v>45419</v>
      </c>
      <c r="B15" s="11">
        <v>45390</v>
      </c>
      <c r="C15" s="12">
        <v>205140</v>
      </c>
      <c r="F15" s="24">
        <v>45627</v>
      </c>
      <c r="G15" s="13"/>
      <c r="H15" s="13"/>
      <c r="I15" s="13"/>
      <c r="J15" s="13"/>
      <c r="K15" s="13"/>
      <c r="L15" s="13"/>
      <c r="M15" s="13"/>
      <c r="N15" s="13"/>
      <c r="O15" s="13"/>
      <c r="P15" s="14"/>
      <c r="Q15" s="14"/>
      <c r="R15" s="14"/>
      <c r="S15" s="17">
        <v>18033926</v>
      </c>
      <c r="T15" s="17">
        <v>9200000</v>
      </c>
      <c r="U15" s="17"/>
      <c r="V15" s="75"/>
      <c r="W15" s="75"/>
      <c r="X15" s="75"/>
    </row>
    <row r="16" spans="1:24" ht="15.5" x14ac:dyDescent="0.3">
      <c r="A16" s="11">
        <v>45429</v>
      </c>
      <c r="B16" s="11">
        <v>45376</v>
      </c>
      <c r="C16" s="12">
        <v>6247040</v>
      </c>
      <c r="F16" s="25">
        <v>45658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4">
        <v>3232650</v>
      </c>
      <c r="T16" s="14">
        <v>11256457</v>
      </c>
      <c r="U16" s="14">
        <v>12244835</v>
      </c>
      <c r="V16" s="77"/>
      <c r="W16" s="77"/>
      <c r="X16" s="77"/>
    </row>
    <row r="17" spans="1:24" ht="15.5" x14ac:dyDescent="0.3">
      <c r="A17" s="11">
        <v>45429</v>
      </c>
      <c r="B17" s="11">
        <v>45410</v>
      </c>
      <c r="C17" s="12">
        <v>6892500</v>
      </c>
      <c r="F17" s="25">
        <v>45689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8"/>
      <c r="T17" s="18">
        <v>21564532</v>
      </c>
      <c r="U17" s="18">
        <v>5514575</v>
      </c>
      <c r="V17" s="77"/>
      <c r="W17" s="77"/>
      <c r="X17" s="77"/>
    </row>
    <row r="18" spans="1:24" ht="15.5" x14ac:dyDescent="0.3">
      <c r="A18" s="11">
        <v>45432</v>
      </c>
      <c r="B18" s="11">
        <v>45386</v>
      </c>
      <c r="C18" s="12">
        <v>4000000</v>
      </c>
      <c r="F18" s="25">
        <v>45717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4"/>
      <c r="T18" s="14"/>
      <c r="U18" s="14">
        <v>7341225</v>
      </c>
      <c r="V18" s="77"/>
      <c r="W18" s="78">
        <f>C83</f>
        <v>28267915</v>
      </c>
      <c r="X18" s="77"/>
    </row>
    <row r="19" spans="1:24" ht="15.5" x14ac:dyDescent="0.3">
      <c r="A19" s="11">
        <v>45432</v>
      </c>
      <c r="B19" s="11">
        <v>45386</v>
      </c>
      <c r="C19" s="12">
        <v>4500000</v>
      </c>
      <c r="F19" s="24">
        <v>45748</v>
      </c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75"/>
      <c r="W19" s="76">
        <f>C84</f>
        <v>42950003</v>
      </c>
      <c r="X19" s="75"/>
    </row>
    <row r="20" spans="1:24" ht="15.5" x14ac:dyDescent="0.3">
      <c r="A20" s="11">
        <v>45442</v>
      </c>
      <c r="B20" s="11">
        <v>45325</v>
      </c>
      <c r="C20" s="12">
        <v>1180575</v>
      </c>
      <c r="F20" s="24">
        <v>45778</v>
      </c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7"/>
      <c r="R20" s="56"/>
      <c r="S20" s="56"/>
      <c r="T20" s="56"/>
      <c r="U20" s="58"/>
      <c r="V20" s="76"/>
      <c r="W20" s="75"/>
      <c r="X20" s="75"/>
    </row>
    <row r="21" spans="1:24" ht="15.5" x14ac:dyDescent="0.3">
      <c r="A21" s="11">
        <v>45454</v>
      </c>
      <c r="B21" s="11">
        <v>45410</v>
      </c>
      <c r="C21" s="12">
        <v>4000000</v>
      </c>
      <c r="F21" s="24">
        <v>45809</v>
      </c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75"/>
      <c r="W21" s="75"/>
      <c r="X21" s="75"/>
    </row>
    <row r="22" spans="1:24" ht="15.5" x14ac:dyDescent="0.3">
      <c r="A22" s="11">
        <v>45454</v>
      </c>
      <c r="B22" s="11">
        <v>45403</v>
      </c>
      <c r="C22" s="12">
        <v>6189219</v>
      </c>
      <c r="G22" s="26"/>
    </row>
    <row r="23" spans="1:24" ht="15.5" x14ac:dyDescent="0.3">
      <c r="A23" s="11">
        <v>45462</v>
      </c>
      <c r="B23" s="11">
        <v>45424</v>
      </c>
      <c r="C23" s="12">
        <v>1873260</v>
      </c>
      <c r="F23" s="10" t="s">
        <v>73</v>
      </c>
      <c r="G23" s="10" t="s">
        <v>74</v>
      </c>
      <c r="H23" s="10" t="s">
        <v>75</v>
      </c>
      <c r="I23" s="10" t="s">
        <v>77</v>
      </c>
      <c r="J23" s="10" t="s">
        <v>76</v>
      </c>
      <c r="K23" s="10" t="s">
        <v>81</v>
      </c>
    </row>
    <row r="24" spans="1:24" ht="15.5" x14ac:dyDescent="0.3">
      <c r="A24" s="11">
        <v>45475</v>
      </c>
      <c r="B24" s="11">
        <v>45463</v>
      </c>
      <c r="C24" s="12">
        <v>4500000</v>
      </c>
      <c r="F24" s="91">
        <f>MIN(C3:C84)</f>
        <v>148200</v>
      </c>
      <c r="G24" s="91">
        <f>MAX(C3:C84)</f>
        <v>94232085</v>
      </c>
      <c r="H24" s="91">
        <f>AVERAGE(C3:C84)</f>
        <v>10648672.841463415</v>
      </c>
      <c r="I24" s="91">
        <f>MEDIAN(C3:C84)</f>
        <v>4000000</v>
      </c>
      <c r="J24" s="92">
        <f>MODE(C3:C84)</f>
        <v>4000000</v>
      </c>
      <c r="K24" s="92">
        <f>_xlfn.STDEV.P(C3:C84)</f>
        <v>18056255.16285548</v>
      </c>
    </row>
    <row r="25" spans="1:24" ht="15.5" x14ac:dyDescent="0.3">
      <c r="A25" s="11">
        <v>45483</v>
      </c>
      <c r="B25" s="11">
        <v>45419</v>
      </c>
      <c r="C25" s="12">
        <v>6397629</v>
      </c>
    </row>
    <row r="26" spans="1:24" ht="15.5" x14ac:dyDescent="0.3">
      <c r="A26" s="11">
        <v>45489</v>
      </c>
      <c r="B26" s="11">
        <v>45496</v>
      </c>
      <c r="C26" s="12">
        <v>934638</v>
      </c>
    </row>
    <row r="27" spans="1:24" ht="15.5" x14ac:dyDescent="0.3">
      <c r="A27" s="11">
        <v>45495</v>
      </c>
      <c r="B27" s="11">
        <v>45433</v>
      </c>
      <c r="C27" s="12">
        <v>29271400</v>
      </c>
    </row>
    <row r="28" spans="1:24" ht="15.5" x14ac:dyDescent="0.3">
      <c r="A28" s="11">
        <v>45506</v>
      </c>
      <c r="B28" s="11">
        <v>45475</v>
      </c>
      <c r="C28" s="12">
        <v>13210200</v>
      </c>
    </row>
    <row r="29" spans="1:24" ht="15.5" x14ac:dyDescent="0.3">
      <c r="A29" s="11">
        <v>45513</v>
      </c>
      <c r="B29" s="11">
        <v>45487</v>
      </c>
      <c r="C29" s="12">
        <v>4250000</v>
      </c>
    </row>
    <row r="30" spans="1:24" ht="15.5" x14ac:dyDescent="0.3">
      <c r="A30" s="11">
        <v>45531</v>
      </c>
      <c r="B30" s="11">
        <v>45505</v>
      </c>
      <c r="C30" s="12">
        <v>728790</v>
      </c>
    </row>
    <row r="31" spans="1:24" ht="15.5" x14ac:dyDescent="0.3">
      <c r="A31" s="11">
        <v>45532</v>
      </c>
      <c r="B31" s="11">
        <v>45455</v>
      </c>
      <c r="C31" s="12">
        <v>11459108</v>
      </c>
    </row>
    <row r="32" spans="1:24" ht="15.5" x14ac:dyDescent="0.3">
      <c r="A32" s="11">
        <v>45545</v>
      </c>
      <c r="B32" s="11">
        <v>45532</v>
      </c>
      <c r="C32" s="12">
        <v>2000000</v>
      </c>
    </row>
    <row r="33" spans="1:3" ht="15.5" x14ac:dyDescent="0.3">
      <c r="A33" s="11">
        <v>45545</v>
      </c>
      <c r="B33" s="11">
        <v>45515</v>
      </c>
      <c r="C33" s="12">
        <v>4500000</v>
      </c>
    </row>
    <row r="34" spans="1:3" ht="15.5" x14ac:dyDescent="0.3">
      <c r="A34" s="11">
        <v>45554</v>
      </c>
      <c r="B34" s="11">
        <v>45513</v>
      </c>
      <c r="C34" s="12">
        <v>5460178</v>
      </c>
    </row>
    <row r="35" spans="1:3" ht="15.5" x14ac:dyDescent="0.3">
      <c r="A35" s="11">
        <v>45559</v>
      </c>
      <c r="B35" s="11">
        <v>45476</v>
      </c>
      <c r="C35" s="12">
        <v>37281107</v>
      </c>
    </row>
    <row r="36" spans="1:3" ht="15.5" x14ac:dyDescent="0.3">
      <c r="A36" s="11">
        <v>45568</v>
      </c>
      <c r="B36" s="11">
        <v>45536</v>
      </c>
      <c r="C36" s="12">
        <v>2297400</v>
      </c>
    </row>
    <row r="37" spans="1:3" ht="15.5" x14ac:dyDescent="0.3">
      <c r="A37" s="11">
        <v>45568</v>
      </c>
      <c r="B37" s="11">
        <v>45523</v>
      </c>
      <c r="C37" s="12">
        <v>3237878</v>
      </c>
    </row>
    <row r="38" spans="1:3" ht="15.5" x14ac:dyDescent="0.3">
      <c r="A38" s="11">
        <v>45579</v>
      </c>
      <c r="B38" s="11">
        <v>45511</v>
      </c>
      <c r="C38" s="12">
        <v>26152164</v>
      </c>
    </row>
    <row r="39" spans="1:3" ht="15.5" x14ac:dyDescent="0.3">
      <c r="A39" s="11">
        <v>45582</v>
      </c>
      <c r="B39" s="11">
        <v>45537</v>
      </c>
      <c r="C39" s="12">
        <v>8493423</v>
      </c>
    </row>
    <row r="40" spans="1:3" ht="15.5" x14ac:dyDescent="0.3">
      <c r="A40" s="11">
        <v>45587</v>
      </c>
      <c r="B40" s="11">
        <v>45552</v>
      </c>
      <c r="C40" s="12">
        <v>8568030</v>
      </c>
    </row>
    <row r="41" spans="1:3" ht="15.5" x14ac:dyDescent="0.3">
      <c r="A41" s="11">
        <v>45589</v>
      </c>
      <c r="B41" s="11">
        <v>45552</v>
      </c>
      <c r="C41" s="12">
        <v>2855350</v>
      </c>
    </row>
    <row r="42" spans="1:3" ht="15.5" x14ac:dyDescent="0.3">
      <c r="A42" s="11">
        <v>45596</v>
      </c>
      <c r="B42" s="11">
        <v>45569</v>
      </c>
      <c r="C42" s="12">
        <v>3647000</v>
      </c>
    </row>
    <row r="43" spans="1:3" ht="15.5" x14ac:dyDescent="0.3">
      <c r="A43" s="11">
        <v>45601</v>
      </c>
      <c r="B43" s="11">
        <v>45582</v>
      </c>
      <c r="C43" s="12">
        <v>6647060</v>
      </c>
    </row>
    <row r="44" spans="1:3" ht="15.5" x14ac:dyDescent="0.3">
      <c r="A44" s="11">
        <v>45602</v>
      </c>
      <c r="B44" s="11">
        <v>45566</v>
      </c>
      <c r="C44" s="12">
        <v>2701080</v>
      </c>
    </row>
    <row r="45" spans="1:3" ht="15.5" x14ac:dyDescent="0.3">
      <c r="A45" s="11">
        <v>45609</v>
      </c>
      <c r="B45" s="11">
        <v>45590</v>
      </c>
      <c r="C45" s="12">
        <v>685891</v>
      </c>
    </row>
    <row r="46" spans="1:3" ht="15.5" x14ac:dyDescent="0.3">
      <c r="A46" s="11">
        <v>45614</v>
      </c>
      <c r="B46" s="11">
        <v>45544</v>
      </c>
      <c r="C46" s="12">
        <v>24428300</v>
      </c>
    </row>
    <row r="47" spans="1:3" ht="15.5" x14ac:dyDescent="0.3">
      <c r="A47" s="11">
        <v>45614</v>
      </c>
      <c r="B47" s="11">
        <v>45604</v>
      </c>
      <c r="C47" s="12">
        <v>148200</v>
      </c>
    </row>
    <row r="48" spans="1:3" ht="15.5" x14ac:dyDescent="0.3">
      <c r="A48" s="11">
        <v>45615</v>
      </c>
      <c r="B48" s="11">
        <v>45576</v>
      </c>
      <c r="C48" s="12">
        <v>7035702</v>
      </c>
    </row>
    <row r="49" spans="1:3" ht="15.5" x14ac:dyDescent="0.3">
      <c r="A49" s="11">
        <v>45618</v>
      </c>
      <c r="B49" s="11">
        <v>45577</v>
      </c>
      <c r="C49" s="12">
        <v>2350000</v>
      </c>
    </row>
    <row r="50" spans="1:3" ht="15.5" x14ac:dyDescent="0.3">
      <c r="A50" s="11">
        <v>45643</v>
      </c>
      <c r="B50" s="11">
        <v>45581</v>
      </c>
      <c r="C50" s="12">
        <v>8417325</v>
      </c>
    </row>
    <row r="51" spans="1:3" ht="15.5" x14ac:dyDescent="0.3">
      <c r="A51" s="11">
        <v>45672</v>
      </c>
      <c r="B51" s="11">
        <v>45634</v>
      </c>
      <c r="C51" s="12">
        <v>14374850</v>
      </c>
    </row>
    <row r="52" spans="1:3" ht="15.5" x14ac:dyDescent="0.3">
      <c r="A52" s="11">
        <v>45679</v>
      </c>
      <c r="B52" s="11">
        <v>45629</v>
      </c>
      <c r="C52" s="12">
        <v>1489800</v>
      </c>
    </row>
    <row r="53" spans="1:3" ht="15.5" x14ac:dyDescent="0.3">
      <c r="A53" s="11">
        <v>45679</v>
      </c>
      <c r="B53" s="11">
        <v>45639</v>
      </c>
      <c r="C53" s="12">
        <v>2169276</v>
      </c>
    </row>
    <row r="54" spans="1:3" ht="15.5" x14ac:dyDescent="0.3">
      <c r="A54" s="11">
        <v>45680</v>
      </c>
      <c r="B54" s="11">
        <v>45606</v>
      </c>
      <c r="C54" s="12">
        <v>7010820</v>
      </c>
    </row>
    <row r="55" spans="1:3" ht="15.5" x14ac:dyDescent="0.3">
      <c r="A55" s="11">
        <v>45681</v>
      </c>
      <c r="B55" s="11">
        <v>45606</v>
      </c>
      <c r="C55" s="12">
        <v>8439710</v>
      </c>
    </row>
    <row r="56" spans="1:3" ht="15.5" x14ac:dyDescent="0.3">
      <c r="A56" s="11">
        <v>45687</v>
      </c>
      <c r="B56" s="11">
        <v>45677</v>
      </c>
      <c r="C56" s="12">
        <v>2212150</v>
      </c>
    </row>
    <row r="57" spans="1:3" ht="15.5" x14ac:dyDescent="0.3">
      <c r="A57" s="11">
        <v>45687</v>
      </c>
      <c r="B57" s="11">
        <v>45673</v>
      </c>
      <c r="C57" s="12">
        <v>1020500</v>
      </c>
    </row>
    <row r="58" spans="1:3" ht="15.5" x14ac:dyDescent="0.3">
      <c r="A58" s="11">
        <v>45687</v>
      </c>
      <c r="B58" s="11">
        <v>45416</v>
      </c>
      <c r="C58" s="12">
        <v>3250000</v>
      </c>
    </row>
    <row r="59" spans="1:3" ht="15.5" x14ac:dyDescent="0.3">
      <c r="A59" s="11">
        <v>45698</v>
      </c>
      <c r="B59" s="11">
        <v>45660</v>
      </c>
      <c r="C59" s="12">
        <v>3106457</v>
      </c>
    </row>
    <row r="60" spans="1:3" ht="15.5" x14ac:dyDescent="0.3">
      <c r="A60" s="11">
        <v>45698</v>
      </c>
      <c r="B60" s="11">
        <v>45608</v>
      </c>
      <c r="C60" s="12">
        <v>8581800</v>
      </c>
    </row>
    <row r="61" spans="1:3" ht="15.5" x14ac:dyDescent="0.3">
      <c r="A61" s="11">
        <v>45700</v>
      </c>
      <c r="B61" s="11">
        <v>45688</v>
      </c>
      <c r="C61" s="12">
        <v>8150000</v>
      </c>
    </row>
    <row r="62" spans="1:3" ht="15.5" x14ac:dyDescent="0.3">
      <c r="A62" s="11">
        <v>45700</v>
      </c>
      <c r="B62" s="11">
        <v>46000</v>
      </c>
      <c r="C62" s="12">
        <v>4000000</v>
      </c>
    </row>
    <row r="63" spans="1:3" ht="15.5" x14ac:dyDescent="0.3">
      <c r="A63" s="11">
        <v>45700</v>
      </c>
      <c r="B63" s="11">
        <v>45630</v>
      </c>
      <c r="C63" s="12">
        <v>4000000</v>
      </c>
    </row>
    <row r="64" spans="1:3" ht="15.5" x14ac:dyDescent="0.3">
      <c r="A64" s="11">
        <v>45700</v>
      </c>
      <c r="B64" s="11">
        <v>45645</v>
      </c>
      <c r="C64" s="12">
        <v>1200000</v>
      </c>
    </row>
    <row r="65" spans="1:3" ht="15.5" x14ac:dyDescent="0.3">
      <c r="A65" s="11">
        <v>45713</v>
      </c>
      <c r="B65" s="11">
        <v>45697</v>
      </c>
      <c r="C65" s="12">
        <v>19020322</v>
      </c>
    </row>
    <row r="66" spans="1:3" ht="15.5" x14ac:dyDescent="0.3">
      <c r="A66" s="11">
        <v>45714</v>
      </c>
      <c r="B66" s="11">
        <v>45605</v>
      </c>
      <c r="C66" s="12">
        <v>92841478</v>
      </c>
    </row>
    <row r="67" spans="1:3" ht="15.5" x14ac:dyDescent="0.3">
      <c r="A67" s="11">
        <v>45721</v>
      </c>
      <c r="B67" s="11">
        <v>45985</v>
      </c>
      <c r="C67" s="12">
        <v>1549750</v>
      </c>
    </row>
    <row r="68" spans="1:3" ht="15.5" x14ac:dyDescent="0.3">
      <c r="A68" s="11">
        <v>45722</v>
      </c>
      <c r="B68" s="11">
        <v>45663</v>
      </c>
      <c r="C68" s="12">
        <v>2607385</v>
      </c>
    </row>
    <row r="69" spans="1:3" ht="15.5" x14ac:dyDescent="0.3">
      <c r="A69" s="11">
        <v>45695</v>
      </c>
      <c r="B69" s="11">
        <v>45692</v>
      </c>
      <c r="C69" s="12">
        <v>2544210</v>
      </c>
    </row>
    <row r="70" spans="1:3" ht="15.5" x14ac:dyDescent="0.3">
      <c r="A70" s="11">
        <v>45730</v>
      </c>
      <c r="B70" s="11">
        <v>45588</v>
      </c>
      <c r="C70" s="12">
        <v>1700000</v>
      </c>
    </row>
    <row r="71" spans="1:3" ht="15.5" x14ac:dyDescent="0.3">
      <c r="A71" s="11">
        <v>45730</v>
      </c>
      <c r="B71" s="11">
        <v>45686</v>
      </c>
      <c r="C71" s="12">
        <v>3500000</v>
      </c>
    </row>
    <row r="72" spans="1:3" ht="15.5" x14ac:dyDescent="0.3">
      <c r="A72" s="11">
        <v>45730</v>
      </c>
      <c r="B72" s="11">
        <v>45675</v>
      </c>
      <c r="C72" s="12">
        <v>3500000</v>
      </c>
    </row>
    <row r="73" spans="1:3" ht="15.5" x14ac:dyDescent="0.3">
      <c r="A73" s="11">
        <v>45735</v>
      </c>
      <c r="B73" s="11">
        <v>45617</v>
      </c>
      <c r="C73" s="12">
        <v>1850000</v>
      </c>
    </row>
    <row r="74" spans="1:3" ht="15.5" x14ac:dyDescent="0.3">
      <c r="A74" s="11">
        <v>45735</v>
      </c>
      <c r="B74" s="11">
        <v>45714</v>
      </c>
      <c r="C74" s="12">
        <v>1300000</v>
      </c>
    </row>
    <row r="75" spans="1:3" ht="15.5" x14ac:dyDescent="0.3">
      <c r="A75" s="11">
        <v>45735</v>
      </c>
      <c r="B75" s="11">
        <v>45733</v>
      </c>
      <c r="C75" s="12">
        <v>7341225</v>
      </c>
    </row>
    <row r="76" spans="1:3" ht="15.5" x14ac:dyDescent="0.3">
      <c r="A76" s="11">
        <v>45735</v>
      </c>
      <c r="B76" s="11">
        <v>45665</v>
      </c>
      <c r="C76" s="12">
        <v>1437450</v>
      </c>
    </row>
    <row r="77" spans="1:3" ht="15.5" x14ac:dyDescent="0.3">
      <c r="A77" s="11">
        <v>45735</v>
      </c>
      <c r="B77" s="11">
        <v>45473</v>
      </c>
      <c r="C77" s="12">
        <v>1863750</v>
      </c>
    </row>
    <row r="78" spans="1:3" ht="15.5" x14ac:dyDescent="0.3">
      <c r="A78" s="11">
        <v>45737</v>
      </c>
      <c r="B78" s="11">
        <v>45712</v>
      </c>
      <c r="C78" s="12">
        <v>4214575</v>
      </c>
    </row>
    <row r="79" spans="1:3" ht="15.5" x14ac:dyDescent="0.3">
      <c r="A79" s="11">
        <v>45741</v>
      </c>
      <c r="B79" s="11">
        <v>45942</v>
      </c>
      <c r="C79" s="12">
        <v>80389722</v>
      </c>
    </row>
    <row r="80" spans="1:3" ht="15.5" x14ac:dyDescent="0.3">
      <c r="A80" s="11">
        <v>45742</v>
      </c>
      <c r="B80" s="11">
        <v>45676</v>
      </c>
      <c r="C80" s="12">
        <v>1200000</v>
      </c>
    </row>
    <row r="81" spans="1:3" ht="15.5" x14ac:dyDescent="0.3">
      <c r="A81" s="11">
        <v>45797</v>
      </c>
      <c r="B81" s="11">
        <v>45625</v>
      </c>
      <c r="C81" s="12">
        <v>29809000</v>
      </c>
    </row>
    <row r="82" spans="1:3" ht="15.5" x14ac:dyDescent="0.3">
      <c r="A82" s="11">
        <v>45798</v>
      </c>
      <c r="B82" s="11">
        <v>45625</v>
      </c>
      <c r="C82" s="12">
        <v>5471392</v>
      </c>
    </row>
    <row r="83" spans="1:3" ht="15.5" x14ac:dyDescent="0.3">
      <c r="A83" s="11">
        <v>45805</v>
      </c>
      <c r="B83" s="11">
        <v>45735</v>
      </c>
      <c r="C83" s="12">
        <v>28267915</v>
      </c>
    </row>
    <row r="84" spans="1:3" ht="15.5" x14ac:dyDescent="0.3">
      <c r="A84" s="11">
        <v>45805</v>
      </c>
      <c r="B84" s="11">
        <v>45760</v>
      </c>
      <c r="C84" s="12">
        <v>42950003</v>
      </c>
    </row>
  </sheetData>
  <mergeCells count="3">
    <mergeCell ref="A1:C1"/>
    <mergeCell ref="F2:F3"/>
    <mergeCell ref="G2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E992-32A4-4263-B698-5AE9D3EE791A}">
  <dimension ref="A1:AA89"/>
  <sheetViews>
    <sheetView topLeftCell="A50" zoomScale="57" zoomScaleNormal="60" workbookViewId="0">
      <selection activeCell="I76" sqref="I76"/>
    </sheetView>
  </sheetViews>
  <sheetFormatPr defaultRowHeight="14" x14ac:dyDescent="0.3"/>
  <cols>
    <col min="1" max="1" width="11.90625" style="21" customWidth="1"/>
    <col min="2" max="2" width="13" style="21" customWidth="1"/>
    <col min="3" max="3" width="14.26953125" style="21" customWidth="1"/>
    <col min="4" max="5" width="13.36328125" style="21" customWidth="1"/>
    <col min="6" max="6" width="13.08984375" style="21" customWidth="1"/>
    <col min="7" max="7" width="13.6328125" style="21" customWidth="1"/>
    <col min="8" max="8" width="13.26953125" style="21" customWidth="1"/>
    <col min="9" max="9" width="12.90625" style="21" customWidth="1"/>
    <col min="10" max="12" width="13.90625" style="21" customWidth="1"/>
    <col min="13" max="14" width="13.6328125" style="21" customWidth="1"/>
    <col min="15" max="15" width="14" style="21" customWidth="1"/>
    <col min="16" max="16" width="12.26953125" style="21" bestFit="1" customWidth="1"/>
    <col min="17" max="17" width="11.26953125" style="21" bestFit="1" customWidth="1"/>
    <col min="18" max="18" width="13.90625" style="21" customWidth="1"/>
    <col min="19" max="19" width="14.36328125" style="21" customWidth="1"/>
    <col min="20" max="20" width="13.26953125" style="21" customWidth="1"/>
    <col min="21" max="21" width="14" style="21" customWidth="1"/>
    <col min="22" max="22" width="15.08984375" style="21" customWidth="1"/>
    <col min="23" max="23" width="14" style="21" customWidth="1"/>
    <col min="24" max="24" width="14.90625" style="21" customWidth="1"/>
    <col min="25" max="25" width="14.7265625" style="21" customWidth="1"/>
    <col min="26" max="26" width="13.26953125" style="21" customWidth="1"/>
    <col min="27" max="27" width="13.81640625" style="21" customWidth="1"/>
    <col min="28" max="28" width="14.08984375" style="21" customWidth="1"/>
    <col min="29" max="29" width="13.7265625" style="21" customWidth="1"/>
    <col min="30" max="30" width="14.90625" style="21" customWidth="1"/>
    <col min="31" max="31" width="15.36328125" style="21" customWidth="1"/>
    <col min="32" max="32" width="16.7265625" style="21" customWidth="1"/>
    <col min="33" max="33" width="14.08984375" style="21" customWidth="1"/>
    <col min="34" max="34" width="13.08984375" style="21" customWidth="1"/>
    <col min="35" max="35" width="13.26953125" style="21" customWidth="1"/>
    <col min="36" max="16384" width="8.7265625" style="21"/>
  </cols>
  <sheetData>
    <row r="1" spans="1:27" ht="14.5" customHeight="1" x14ac:dyDescent="0.3">
      <c r="A1" s="162" t="s">
        <v>19</v>
      </c>
      <c r="B1" s="140" t="s">
        <v>20</v>
      </c>
      <c r="C1" s="140"/>
      <c r="D1" s="140"/>
      <c r="E1" s="140"/>
      <c r="F1" s="140"/>
      <c r="G1" s="140"/>
      <c r="I1" s="144" t="s">
        <v>19</v>
      </c>
      <c r="J1" s="146" t="s">
        <v>20</v>
      </c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 spans="1:27" x14ac:dyDescent="0.3">
      <c r="A2" s="162"/>
      <c r="B2" s="41">
        <v>0</v>
      </c>
      <c r="C2" s="41">
        <v>1</v>
      </c>
      <c r="D2" s="41">
        <v>2</v>
      </c>
      <c r="E2" s="41">
        <v>3</v>
      </c>
      <c r="F2" s="41">
        <v>4</v>
      </c>
      <c r="G2" s="41">
        <v>5</v>
      </c>
      <c r="I2" s="145"/>
      <c r="J2" s="22">
        <v>45292</v>
      </c>
      <c r="K2" s="22">
        <v>45323</v>
      </c>
      <c r="L2" s="22">
        <v>45352</v>
      </c>
      <c r="M2" s="22">
        <v>45383</v>
      </c>
      <c r="N2" s="22">
        <v>45413</v>
      </c>
      <c r="O2" s="22">
        <v>45444</v>
      </c>
      <c r="P2" s="22">
        <v>45474</v>
      </c>
      <c r="Q2" s="22">
        <v>45505</v>
      </c>
      <c r="R2" s="22">
        <v>45536</v>
      </c>
      <c r="S2" s="22">
        <v>45566</v>
      </c>
      <c r="T2" s="22">
        <v>45597</v>
      </c>
      <c r="U2" s="22">
        <v>45627</v>
      </c>
      <c r="V2" s="22">
        <v>45658</v>
      </c>
      <c r="W2" s="22">
        <v>45689</v>
      </c>
      <c r="X2" s="22">
        <v>45717</v>
      </c>
      <c r="Y2" s="22">
        <v>45748</v>
      </c>
      <c r="Z2" s="22">
        <v>45778</v>
      </c>
      <c r="AA2" s="22">
        <v>45809</v>
      </c>
    </row>
    <row r="3" spans="1:27" x14ac:dyDescent="0.3">
      <c r="A3" s="147" t="s">
        <v>56</v>
      </c>
      <c r="B3" s="156">
        <f>SUM(J3:L5)</f>
        <v>55621789</v>
      </c>
      <c r="C3" s="159">
        <f>SUM(M3:O5)</f>
        <v>30687872</v>
      </c>
      <c r="D3" s="159">
        <f>SUM(P3:R5)</f>
        <v>122500000</v>
      </c>
      <c r="E3" s="159">
        <f>SUM(S3:U5)</f>
        <v>0</v>
      </c>
      <c r="F3" s="159">
        <f>SUM(V3:X5)</f>
        <v>0</v>
      </c>
      <c r="G3" s="159">
        <f>SUM(Y3:AA5)</f>
        <v>0</v>
      </c>
      <c r="I3" s="23">
        <v>45292</v>
      </c>
      <c r="J3" s="15">
        <v>5000000</v>
      </c>
      <c r="K3" s="15">
        <v>7137616</v>
      </c>
      <c r="L3" s="14">
        <v>0</v>
      </c>
      <c r="M3" s="17">
        <v>0</v>
      </c>
      <c r="N3" s="17">
        <v>0</v>
      </c>
      <c r="O3" s="17">
        <v>0</v>
      </c>
      <c r="P3" s="19">
        <v>122500000</v>
      </c>
      <c r="Q3" s="19">
        <v>0</v>
      </c>
      <c r="R3" s="19">
        <v>0</v>
      </c>
      <c r="S3" s="79">
        <v>0</v>
      </c>
      <c r="T3" s="79">
        <v>0</v>
      </c>
      <c r="U3" s="79">
        <v>0</v>
      </c>
      <c r="V3" s="19">
        <v>0</v>
      </c>
      <c r="W3" s="19">
        <v>0</v>
      </c>
      <c r="X3" s="19">
        <v>0</v>
      </c>
      <c r="Y3" s="79">
        <v>0</v>
      </c>
      <c r="Z3" s="79">
        <v>0</v>
      </c>
      <c r="AA3" s="79">
        <v>0</v>
      </c>
    </row>
    <row r="4" spans="1:27" x14ac:dyDescent="0.3">
      <c r="A4" s="148"/>
      <c r="B4" s="157"/>
      <c r="C4" s="160"/>
      <c r="D4" s="160"/>
      <c r="E4" s="160"/>
      <c r="F4" s="160"/>
      <c r="G4" s="160"/>
      <c r="I4" s="23">
        <v>45323</v>
      </c>
      <c r="J4" s="14"/>
      <c r="K4" s="14">
        <v>42950003</v>
      </c>
      <c r="L4" s="15">
        <v>534170</v>
      </c>
      <c r="M4" s="16">
        <v>9928518</v>
      </c>
      <c r="N4" s="16">
        <v>1180575</v>
      </c>
      <c r="O4" s="17">
        <v>0</v>
      </c>
      <c r="P4" s="14">
        <v>0</v>
      </c>
      <c r="Q4" s="14">
        <v>0</v>
      </c>
      <c r="R4" s="19">
        <v>0</v>
      </c>
      <c r="S4" s="79">
        <v>0</v>
      </c>
      <c r="T4" s="79">
        <v>0</v>
      </c>
      <c r="U4" s="79">
        <v>0</v>
      </c>
      <c r="V4" s="19">
        <v>0</v>
      </c>
      <c r="W4" s="19">
        <v>0</v>
      </c>
      <c r="X4" s="19">
        <v>0</v>
      </c>
      <c r="Y4" s="79">
        <v>0</v>
      </c>
      <c r="Z4" s="79">
        <v>0</v>
      </c>
      <c r="AA4" s="79">
        <v>0</v>
      </c>
    </row>
    <row r="5" spans="1:27" x14ac:dyDescent="0.3">
      <c r="A5" s="149"/>
      <c r="B5" s="158"/>
      <c r="C5" s="161"/>
      <c r="D5" s="161"/>
      <c r="E5" s="161"/>
      <c r="F5" s="161"/>
      <c r="G5" s="161"/>
      <c r="I5" s="23">
        <v>45352</v>
      </c>
      <c r="J5" s="14"/>
      <c r="K5" s="14"/>
      <c r="L5" s="14"/>
      <c r="M5" s="16">
        <v>13331739</v>
      </c>
      <c r="N5" s="17">
        <v>6247040</v>
      </c>
      <c r="O5" s="17">
        <v>0</v>
      </c>
      <c r="P5" s="14">
        <v>0</v>
      </c>
      <c r="Q5" s="14">
        <v>0</v>
      </c>
      <c r="R5" s="19">
        <v>0</v>
      </c>
      <c r="S5" s="79">
        <v>0</v>
      </c>
      <c r="T5" s="79">
        <v>0</v>
      </c>
      <c r="U5" s="79">
        <v>0</v>
      </c>
      <c r="V5" s="19">
        <v>0</v>
      </c>
      <c r="W5" s="19">
        <v>0</v>
      </c>
      <c r="X5" s="19">
        <v>0</v>
      </c>
      <c r="Y5" s="79">
        <v>0</v>
      </c>
      <c r="Z5" s="79">
        <v>0</v>
      </c>
      <c r="AA5" s="79">
        <v>0</v>
      </c>
    </row>
    <row r="6" spans="1:27" x14ac:dyDescent="0.3">
      <c r="A6" s="147" t="s">
        <v>57</v>
      </c>
      <c r="B6" s="150">
        <f>SUM(M6:O8)</f>
        <v>34360119</v>
      </c>
      <c r="C6" s="150">
        <f>SUM(P6:R8)</f>
        <v>51628137</v>
      </c>
      <c r="D6" s="150">
        <f>SUM(S6:U8)</f>
        <v>0</v>
      </c>
      <c r="E6" s="150">
        <f>SUM(V6:X8)</f>
        <v>5113750</v>
      </c>
      <c r="F6" s="150">
        <f>SUM(Y6:AA8)</f>
        <v>0</v>
      </c>
      <c r="G6" s="150"/>
      <c r="I6" s="24">
        <v>45383</v>
      </c>
      <c r="J6" s="13"/>
      <c r="K6" s="13"/>
      <c r="L6" s="13"/>
      <c r="M6" s="14">
        <v>6700000</v>
      </c>
      <c r="N6" s="15">
        <v>15597640</v>
      </c>
      <c r="O6" s="14">
        <v>10189219</v>
      </c>
      <c r="P6" s="17">
        <v>0</v>
      </c>
      <c r="Q6" s="17">
        <v>0</v>
      </c>
      <c r="R6" s="79">
        <v>0</v>
      </c>
      <c r="S6" s="19">
        <v>0</v>
      </c>
      <c r="T6" s="19">
        <v>0</v>
      </c>
      <c r="U6" s="19">
        <v>0</v>
      </c>
      <c r="V6" s="79">
        <v>0</v>
      </c>
      <c r="W6" s="79">
        <v>0</v>
      </c>
      <c r="X6" s="79">
        <v>0</v>
      </c>
      <c r="Y6" s="19">
        <v>0</v>
      </c>
      <c r="Z6" s="19">
        <v>0</v>
      </c>
      <c r="AA6" s="19">
        <v>0</v>
      </c>
    </row>
    <row r="7" spans="1:27" x14ac:dyDescent="0.3">
      <c r="A7" s="148"/>
      <c r="B7" s="151"/>
      <c r="C7" s="151"/>
      <c r="D7" s="151"/>
      <c r="E7" s="151"/>
      <c r="F7" s="151"/>
      <c r="G7" s="151"/>
      <c r="I7" s="24">
        <v>45413</v>
      </c>
      <c r="J7" s="13"/>
      <c r="K7" s="13"/>
      <c r="L7" s="13"/>
      <c r="M7" s="14"/>
      <c r="N7" s="14"/>
      <c r="O7" s="14">
        <v>1873260</v>
      </c>
      <c r="P7" s="17">
        <v>35669029</v>
      </c>
      <c r="Q7" s="17">
        <v>0</v>
      </c>
      <c r="R7" s="17">
        <v>0</v>
      </c>
      <c r="S7" s="14">
        <v>0</v>
      </c>
      <c r="T7" s="14">
        <v>0</v>
      </c>
      <c r="U7" s="14">
        <v>0</v>
      </c>
      <c r="V7" s="17">
        <v>3250000</v>
      </c>
      <c r="W7" s="17">
        <v>0</v>
      </c>
      <c r="X7" s="17">
        <v>0</v>
      </c>
      <c r="Y7" s="19">
        <v>0</v>
      </c>
      <c r="Z7" s="19">
        <v>0</v>
      </c>
      <c r="AA7" s="19">
        <v>0</v>
      </c>
    </row>
    <row r="8" spans="1:27" x14ac:dyDescent="0.3">
      <c r="A8" s="149"/>
      <c r="B8" s="152"/>
      <c r="C8" s="152"/>
      <c r="D8" s="152"/>
      <c r="E8" s="152"/>
      <c r="F8" s="152"/>
      <c r="G8" s="152"/>
      <c r="I8" s="24">
        <v>45444</v>
      </c>
      <c r="J8" s="13"/>
      <c r="K8" s="13"/>
      <c r="L8" s="13"/>
      <c r="M8" s="14"/>
      <c r="N8" s="14"/>
      <c r="O8" s="14"/>
      <c r="P8" s="17">
        <v>4500000</v>
      </c>
      <c r="Q8" s="17">
        <v>11459108</v>
      </c>
      <c r="R8" s="17">
        <v>0</v>
      </c>
      <c r="S8" s="14">
        <v>0</v>
      </c>
      <c r="T8" s="14">
        <v>0</v>
      </c>
      <c r="U8" s="14">
        <v>0</v>
      </c>
      <c r="V8" s="17">
        <v>0</v>
      </c>
      <c r="W8" s="17">
        <v>0</v>
      </c>
      <c r="X8" s="28">
        <v>1863750</v>
      </c>
      <c r="Y8" s="19">
        <v>0</v>
      </c>
      <c r="Z8" s="19">
        <v>0</v>
      </c>
      <c r="AA8" s="19">
        <v>0</v>
      </c>
    </row>
    <row r="9" spans="1:27" x14ac:dyDescent="0.3">
      <c r="A9" s="147" t="s">
        <v>58</v>
      </c>
      <c r="B9" s="150">
        <f>SUM(P9:R11)</f>
        <v>68364913</v>
      </c>
      <c r="C9" s="150">
        <f>SUM(S9:U11)</f>
        <v>76032545</v>
      </c>
      <c r="D9" s="150">
        <f>SUM(V9:X11)</f>
        <v>0</v>
      </c>
      <c r="E9" s="150">
        <f>SUM(Y9:AA11)</f>
        <v>0</v>
      </c>
      <c r="F9" s="150"/>
      <c r="G9" s="150"/>
      <c r="I9" s="23">
        <v>45474</v>
      </c>
      <c r="J9" s="13"/>
      <c r="K9" s="13"/>
      <c r="L9" s="13"/>
      <c r="M9" s="13"/>
      <c r="N9" s="13"/>
      <c r="O9" s="13"/>
      <c r="P9" s="14">
        <v>934638</v>
      </c>
      <c r="Q9" s="14">
        <v>17460200</v>
      </c>
      <c r="R9" s="14">
        <v>37281107</v>
      </c>
      <c r="S9" s="17">
        <v>0</v>
      </c>
      <c r="T9" s="17">
        <v>0</v>
      </c>
      <c r="U9" s="17">
        <v>0</v>
      </c>
      <c r="V9" s="14">
        <v>0</v>
      </c>
      <c r="W9" s="14">
        <v>0</v>
      </c>
      <c r="X9" s="20">
        <v>0</v>
      </c>
      <c r="Y9" s="79">
        <v>0</v>
      </c>
      <c r="Z9" s="79">
        <v>0</v>
      </c>
      <c r="AA9" s="79">
        <v>0</v>
      </c>
    </row>
    <row r="10" spans="1:27" x14ac:dyDescent="0.3">
      <c r="A10" s="148"/>
      <c r="B10" s="151"/>
      <c r="C10" s="151"/>
      <c r="D10" s="151"/>
      <c r="E10" s="151"/>
      <c r="F10" s="151"/>
      <c r="G10" s="151"/>
      <c r="I10" s="23">
        <v>45505</v>
      </c>
      <c r="J10" s="13"/>
      <c r="K10" s="13"/>
      <c r="L10" s="13"/>
      <c r="M10" s="13"/>
      <c r="N10" s="13"/>
      <c r="O10" s="13"/>
      <c r="P10" s="14"/>
      <c r="Q10" s="14">
        <v>728790</v>
      </c>
      <c r="R10" s="14">
        <v>11960178</v>
      </c>
      <c r="S10" s="17">
        <v>29390042</v>
      </c>
      <c r="T10" s="17">
        <v>0</v>
      </c>
      <c r="U10" s="17">
        <v>0</v>
      </c>
      <c r="V10" s="14">
        <v>0</v>
      </c>
      <c r="W10" s="14">
        <v>0</v>
      </c>
      <c r="X10" s="20">
        <v>0</v>
      </c>
      <c r="Y10" s="79">
        <v>0</v>
      </c>
      <c r="Z10" s="79">
        <v>0</v>
      </c>
      <c r="AA10" s="79">
        <v>0</v>
      </c>
    </row>
    <row r="11" spans="1:27" x14ac:dyDescent="0.3">
      <c r="A11" s="149"/>
      <c r="B11" s="152"/>
      <c r="C11" s="152"/>
      <c r="D11" s="152"/>
      <c r="E11" s="152"/>
      <c r="F11" s="152"/>
      <c r="G11" s="152"/>
      <c r="I11" s="23">
        <v>45536</v>
      </c>
      <c r="J11" s="13"/>
      <c r="K11" s="13"/>
      <c r="L11" s="13"/>
      <c r="M11" s="13"/>
      <c r="N11" s="13"/>
      <c r="O11" s="13"/>
      <c r="P11" s="14"/>
      <c r="Q11" s="14"/>
      <c r="R11" s="14"/>
      <c r="S11" s="17">
        <v>22214203</v>
      </c>
      <c r="T11" s="17">
        <v>24428300</v>
      </c>
      <c r="U11" s="17">
        <v>0</v>
      </c>
      <c r="V11" s="14">
        <v>0</v>
      </c>
      <c r="W11" s="14">
        <v>0</v>
      </c>
      <c r="X11" s="20">
        <v>0</v>
      </c>
      <c r="Y11" s="79">
        <v>0</v>
      </c>
      <c r="Z11" s="79">
        <v>0</v>
      </c>
      <c r="AA11" s="79">
        <v>0</v>
      </c>
    </row>
    <row r="12" spans="1:27" x14ac:dyDescent="0.3">
      <c r="A12" s="147" t="s">
        <v>59</v>
      </c>
      <c r="B12" s="150">
        <f>SUM(S12:U14)</f>
        <v>31632258</v>
      </c>
      <c r="C12" s="150">
        <f>SUM(V12:X14)</f>
        <v>229597206</v>
      </c>
      <c r="D12" s="150">
        <f>SUM(Y12:AA14)</f>
        <v>35280392</v>
      </c>
      <c r="E12" s="150"/>
      <c r="F12" s="150"/>
      <c r="G12" s="150"/>
      <c r="I12" s="24">
        <v>45566</v>
      </c>
      <c r="J12" s="13"/>
      <c r="K12" s="13"/>
      <c r="L12" s="13"/>
      <c r="M12" s="13"/>
      <c r="N12" s="13"/>
      <c r="O12" s="13"/>
      <c r="P12" s="13"/>
      <c r="Q12" s="13"/>
      <c r="R12" s="13"/>
      <c r="S12" s="14">
        <v>3647000</v>
      </c>
      <c r="T12" s="14">
        <v>19419733</v>
      </c>
      <c r="U12" s="14">
        <v>8417325</v>
      </c>
      <c r="V12" s="17">
        <v>0</v>
      </c>
      <c r="W12" s="17">
        <v>0</v>
      </c>
      <c r="X12" s="17">
        <v>82089722</v>
      </c>
      <c r="Y12" s="19">
        <v>0</v>
      </c>
      <c r="Z12" s="19">
        <v>0</v>
      </c>
      <c r="AA12" s="19">
        <v>0</v>
      </c>
    </row>
    <row r="13" spans="1:27" x14ac:dyDescent="0.3">
      <c r="A13" s="148"/>
      <c r="B13" s="151"/>
      <c r="C13" s="151"/>
      <c r="D13" s="151"/>
      <c r="E13" s="151"/>
      <c r="F13" s="151"/>
      <c r="G13" s="151"/>
      <c r="I13" s="24">
        <v>45597</v>
      </c>
      <c r="J13" s="13"/>
      <c r="K13" s="13"/>
      <c r="L13" s="13"/>
      <c r="M13" s="13"/>
      <c r="N13" s="13"/>
      <c r="O13" s="13"/>
      <c r="P13" s="13"/>
      <c r="Q13" s="13"/>
      <c r="R13" s="13"/>
      <c r="S13" s="14"/>
      <c r="T13" s="14">
        <v>148200</v>
      </c>
      <c r="U13" s="14"/>
      <c r="V13" s="17">
        <v>15450530</v>
      </c>
      <c r="W13" s="17">
        <v>101423278</v>
      </c>
      <c r="X13" s="17">
        <v>3399750</v>
      </c>
      <c r="Y13" s="19">
        <v>0</v>
      </c>
      <c r="Z13" s="75">
        <v>35280392</v>
      </c>
      <c r="AA13" s="19">
        <v>0</v>
      </c>
    </row>
    <row r="14" spans="1:27" x14ac:dyDescent="0.3">
      <c r="A14" s="149"/>
      <c r="B14" s="152"/>
      <c r="C14" s="152"/>
      <c r="D14" s="152"/>
      <c r="E14" s="152"/>
      <c r="F14" s="152"/>
      <c r="G14" s="152"/>
      <c r="I14" s="24">
        <v>45627</v>
      </c>
      <c r="J14" s="13"/>
      <c r="K14" s="13"/>
      <c r="L14" s="13"/>
      <c r="M14" s="13"/>
      <c r="N14" s="13"/>
      <c r="O14" s="13"/>
      <c r="P14" s="13"/>
      <c r="Q14" s="13"/>
      <c r="R14" s="13"/>
      <c r="S14" s="14"/>
      <c r="T14" s="14"/>
      <c r="U14" s="14"/>
      <c r="V14" s="17">
        <v>18033926</v>
      </c>
      <c r="W14" s="17">
        <v>9200000</v>
      </c>
      <c r="X14" s="17">
        <v>0</v>
      </c>
      <c r="Y14" s="19">
        <v>0</v>
      </c>
      <c r="Z14" s="19">
        <v>0</v>
      </c>
      <c r="AA14" s="19">
        <v>0</v>
      </c>
    </row>
    <row r="15" spans="1:27" x14ac:dyDescent="0.3">
      <c r="A15" s="164" t="s">
        <v>60</v>
      </c>
      <c r="B15" s="163">
        <f>SUM(V15:X17)</f>
        <v>61154274</v>
      </c>
      <c r="C15" s="163">
        <f>SUM(Y15:AA17)</f>
        <v>28267915</v>
      </c>
      <c r="D15" s="163"/>
      <c r="E15" s="163"/>
      <c r="F15" s="163"/>
      <c r="G15" s="163"/>
      <c r="I15" s="25">
        <v>45658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>
        <v>3232650</v>
      </c>
      <c r="W15" s="14">
        <v>11256457</v>
      </c>
      <c r="X15" s="14">
        <v>12244835</v>
      </c>
      <c r="Y15" s="79">
        <v>0</v>
      </c>
      <c r="Z15" s="79">
        <v>0</v>
      </c>
      <c r="AA15" s="79">
        <v>0</v>
      </c>
    </row>
    <row r="16" spans="1:27" x14ac:dyDescent="0.3">
      <c r="A16" s="164"/>
      <c r="B16" s="163"/>
      <c r="C16" s="163"/>
      <c r="D16" s="163"/>
      <c r="E16" s="163"/>
      <c r="F16" s="163"/>
      <c r="G16" s="163"/>
      <c r="I16" s="25">
        <v>45689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8"/>
      <c r="W16" s="18">
        <v>21564532</v>
      </c>
      <c r="X16" s="18">
        <v>5514575</v>
      </c>
      <c r="Y16" s="79">
        <v>0</v>
      </c>
      <c r="Z16" s="79">
        <v>0</v>
      </c>
      <c r="AA16" s="79">
        <v>0</v>
      </c>
    </row>
    <row r="17" spans="1:27" x14ac:dyDescent="0.3">
      <c r="A17" s="164"/>
      <c r="B17" s="163"/>
      <c r="C17" s="163"/>
      <c r="D17" s="163"/>
      <c r="E17" s="163"/>
      <c r="F17" s="163"/>
      <c r="G17" s="163"/>
      <c r="I17" s="25">
        <v>45717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8"/>
      <c r="W17" s="18"/>
      <c r="X17" s="18">
        <v>7341225</v>
      </c>
      <c r="Y17" s="79">
        <v>0</v>
      </c>
      <c r="Z17" s="77">
        <v>28267915</v>
      </c>
      <c r="AA17" s="79">
        <v>0</v>
      </c>
    </row>
    <row r="18" spans="1:27" x14ac:dyDescent="0.3">
      <c r="A18" s="147" t="s">
        <v>66</v>
      </c>
      <c r="B18" s="163">
        <f>SUM(Y18:AA20)</f>
        <v>42950003</v>
      </c>
      <c r="C18" s="163"/>
      <c r="D18" s="163"/>
      <c r="E18" s="163"/>
      <c r="F18" s="163"/>
      <c r="G18" s="163"/>
      <c r="I18" s="24">
        <v>45748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59"/>
      <c r="W18" s="59"/>
      <c r="X18" s="59"/>
      <c r="Y18" s="19">
        <v>0</v>
      </c>
      <c r="Z18" s="75">
        <v>42950003</v>
      </c>
      <c r="AA18" s="19">
        <v>0</v>
      </c>
    </row>
    <row r="19" spans="1:27" x14ac:dyDescent="0.3">
      <c r="A19" s="148"/>
      <c r="B19" s="163"/>
      <c r="C19" s="163"/>
      <c r="D19" s="163"/>
      <c r="E19" s="163"/>
      <c r="F19" s="163"/>
      <c r="G19" s="163"/>
      <c r="I19" s="24">
        <v>45778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59"/>
      <c r="W19" s="59"/>
      <c r="X19" s="59"/>
      <c r="Y19" s="75"/>
      <c r="Z19" s="75">
        <v>0</v>
      </c>
      <c r="AA19" s="19">
        <v>0</v>
      </c>
    </row>
    <row r="20" spans="1:27" x14ac:dyDescent="0.3">
      <c r="A20" s="149"/>
      <c r="B20" s="163"/>
      <c r="C20" s="163"/>
      <c r="D20" s="163"/>
      <c r="E20" s="163"/>
      <c r="F20" s="163"/>
      <c r="G20" s="163"/>
      <c r="I20" s="24">
        <v>45809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60"/>
      <c r="W20" s="60"/>
      <c r="X20" s="60"/>
      <c r="Y20" s="75"/>
      <c r="Z20" s="75"/>
      <c r="AA20" s="19">
        <v>0</v>
      </c>
    </row>
    <row r="22" spans="1:27" x14ac:dyDescent="0.3">
      <c r="A22" s="42" t="s">
        <v>21</v>
      </c>
    </row>
    <row r="23" spans="1:27" x14ac:dyDescent="0.3">
      <c r="A23" s="162" t="s">
        <v>19</v>
      </c>
      <c r="B23" s="140" t="s">
        <v>20</v>
      </c>
      <c r="C23" s="140"/>
      <c r="D23" s="140"/>
      <c r="E23" s="140"/>
      <c r="F23" s="140"/>
      <c r="G23" s="140"/>
    </row>
    <row r="24" spans="1:27" x14ac:dyDescent="0.3">
      <c r="A24" s="162"/>
      <c r="B24" s="41">
        <v>0</v>
      </c>
      <c r="C24" s="41">
        <v>1</v>
      </c>
      <c r="D24" s="41">
        <v>2</v>
      </c>
      <c r="E24" s="41">
        <v>3</v>
      </c>
      <c r="F24" s="41">
        <v>4</v>
      </c>
      <c r="G24" s="41">
        <v>5</v>
      </c>
    </row>
    <row r="25" spans="1:27" x14ac:dyDescent="0.3">
      <c r="A25" s="147" t="s">
        <v>56</v>
      </c>
      <c r="B25" s="156">
        <f>B3</f>
        <v>55621789</v>
      </c>
      <c r="C25" s="159">
        <f>B3+C3</f>
        <v>86309661</v>
      </c>
      <c r="D25" s="159">
        <f>B3+C3+D3</f>
        <v>208809661</v>
      </c>
      <c r="E25" s="159">
        <f>E3+B3+C3+D3</f>
        <v>208809661</v>
      </c>
      <c r="F25" s="159">
        <f>B3+C3+D3+F3+E3</f>
        <v>208809661</v>
      </c>
      <c r="G25" s="159">
        <f>C3+D3+E3+G3+F3+B3</f>
        <v>208809661</v>
      </c>
    </row>
    <row r="26" spans="1:27" x14ac:dyDescent="0.3">
      <c r="A26" s="148"/>
      <c r="B26" s="157"/>
      <c r="C26" s="160"/>
      <c r="D26" s="160"/>
      <c r="E26" s="160"/>
      <c r="F26" s="160"/>
      <c r="G26" s="160"/>
    </row>
    <row r="27" spans="1:27" x14ac:dyDescent="0.3">
      <c r="A27" s="149"/>
      <c r="B27" s="158"/>
      <c r="C27" s="161"/>
      <c r="D27" s="161"/>
      <c r="E27" s="161"/>
      <c r="F27" s="161"/>
      <c r="G27" s="161"/>
    </row>
    <row r="28" spans="1:27" x14ac:dyDescent="0.3">
      <c r="A28" s="147" t="s">
        <v>57</v>
      </c>
      <c r="B28" s="150">
        <f>B6</f>
        <v>34360119</v>
      </c>
      <c r="C28" s="150">
        <f>B6+C6</f>
        <v>85988256</v>
      </c>
      <c r="D28" s="150">
        <f>B6+C6+D6</f>
        <v>85988256</v>
      </c>
      <c r="E28" s="150">
        <f>B6+C6+D6+E6</f>
        <v>91102006</v>
      </c>
      <c r="F28" s="150">
        <f>C6+D6+E6+F6+B6</f>
        <v>91102006</v>
      </c>
      <c r="G28" s="153">
        <f>F28*K44</f>
        <v>91102006</v>
      </c>
    </row>
    <row r="29" spans="1:27" x14ac:dyDescent="0.3">
      <c r="A29" s="148"/>
      <c r="B29" s="151"/>
      <c r="C29" s="151"/>
      <c r="D29" s="151"/>
      <c r="E29" s="151"/>
      <c r="F29" s="151"/>
      <c r="G29" s="154"/>
    </row>
    <row r="30" spans="1:27" x14ac:dyDescent="0.3">
      <c r="A30" s="149"/>
      <c r="B30" s="152"/>
      <c r="C30" s="152"/>
      <c r="D30" s="152"/>
      <c r="E30" s="152"/>
      <c r="F30" s="152"/>
      <c r="G30" s="155"/>
    </row>
    <row r="31" spans="1:27" x14ac:dyDescent="0.3">
      <c r="A31" s="147" t="s">
        <v>58</v>
      </c>
      <c r="B31" s="150">
        <f>B9</f>
        <v>68364913</v>
      </c>
      <c r="C31" s="150">
        <f>B9+C9</f>
        <v>144397458</v>
      </c>
      <c r="D31" s="150">
        <f>B9+C9+D9</f>
        <v>144397458</v>
      </c>
      <c r="E31" s="150">
        <f>C9+D9+E9+B9</f>
        <v>144397458</v>
      </c>
      <c r="F31" s="153">
        <f>E31*I44</f>
        <v>144397458</v>
      </c>
      <c r="G31" s="153">
        <f>F31*J44</f>
        <v>144397458</v>
      </c>
    </row>
    <row r="32" spans="1:27" x14ac:dyDescent="0.3">
      <c r="A32" s="148"/>
      <c r="B32" s="151"/>
      <c r="C32" s="151"/>
      <c r="D32" s="151"/>
      <c r="E32" s="151"/>
      <c r="F32" s="154"/>
      <c r="G32" s="154"/>
    </row>
    <row r="33" spans="1:11" x14ac:dyDescent="0.3">
      <c r="A33" s="149"/>
      <c r="B33" s="152"/>
      <c r="C33" s="152"/>
      <c r="D33" s="152"/>
      <c r="E33" s="152"/>
      <c r="F33" s="155"/>
      <c r="G33" s="155"/>
    </row>
    <row r="34" spans="1:11" x14ac:dyDescent="0.3">
      <c r="A34" s="147" t="s">
        <v>59</v>
      </c>
      <c r="B34" s="150">
        <f>B12</f>
        <v>31632258</v>
      </c>
      <c r="C34" s="150">
        <f>B12+C12</f>
        <v>261229464</v>
      </c>
      <c r="D34" s="150">
        <f>C12+D12+B12</f>
        <v>296509856</v>
      </c>
      <c r="E34" s="153">
        <f>H44*D34</f>
        <v>299962254.09531236</v>
      </c>
      <c r="F34" s="153">
        <f t="shared" ref="F34:G34" si="0">I44*E34</f>
        <v>299962254.09531236</v>
      </c>
      <c r="G34" s="153">
        <f t="shared" si="0"/>
        <v>299962254.09531236</v>
      </c>
    </row>
    <row r="35" spans="1:11" x14ac:dyDescent="0.3">
      <c r="A35" s="148"/>
      <c r="B35" s="151"/>
      <c r="C35" s="151"/>
      <c r="D35" s="151"/>
      <c r="E35" s="154"/>
      <c r="F35" s="154"/>
      <c r="G35" s="154"/>
    </row>
    <row r="36" spans="1:11" x14ac:dyDescent="0.3">
      <c r="A36" s="149"/>
      <c r="B36" s="152"/>
      <c r="C36" s="152"/>
      <c r="D36" s="152"/>
      <c r="E36" s="155"/>
      <c r="F36" s="155"/>
      <c r="G36" s="155"/>
    </row>
    <row r="37" spans="1:11" x14ac:dyDescent="0.3">
      <c r="A37" s="147" t="s">
        <v>60</v>
      </c>
      <c r="B37" s="150">
        <f>B15</f>
        <v>61154274</v>
      </c>
      <c r="C37" s="150">
        <f>B15+C15</f>
        <v>89422189</v>
      </c>
      <c r="D37" s="153">
        <f>C37*G44</f>
        <v>113835515.92730671</v>
      </c>
      <c r="E37" s="153">
        <f t="shared" ref="E37:G37" si="1">D37*H44</f>
        <v>115160954.22358491</v>
      </c>
      <c r="F37" s="153">
        <f t="shared" si="1"/>
        <v>115160954.22358491</v>
      </c>
      <c r="G37" s="153">
        <f t="shared" si="1"/>
        <v>115160954.22358491</v>
      </c>
    </row>
    <row r="38" spans="1:11" x14ac:dyDescent="0.3">
      <c r="A38" s="148"/>
      <c r="B38" s="151"/>
      <c r="C38" s="151"/>
      <c r="D38" s="154"/>
      <c r="E38" s="154"/>
      <c r="F38" s="154"/>
      <c r="G38" s="154"/>
    </row>
    <row r="39" spans="1:11" x14ac:dyDescent="0.3">
      <c r="A39" s="149"/>
      <c r="B39" s="152"/>
      <c r="C39" s="152"/>
      <c r="D39" s="155"/>
      <c r="E39" s="155"/>
      <c r="F39" s="155"/>
      <c r="G39" s="155"/>
    </row>
    <row r="40" spans="1:11" x14ac:dyDescent="0.3">
      <c r="A40" s="147" t="s">
        <v>66</v>
      </c>
      <c r="B40" s="150">
        <f>B18</f>
        <v>42950003</v>
      </c>
      <c r="C40" s="153">
        <f>B40*F44</f>
        <v>114132816.3393776</v>
      </c>
      <c r="D40" s="153">
        <f t="shared" ref="D40:G40" si="2">C40*G44</f>
        <v>145292440.02547947</v>
      </c>
      <c r="E40" s="153">
        <f t="shared" si="2"/>
        <v>146984145.48840767</v>
      </c>
      <c r="F40" s="153">
        <f t="shared" si="2"/>
        <v>146984145.48840767</v>
      </c>
      <c r="G40" s="153">
        <f t="shared" si="2"/>
        <v>146984145.48840767</v>
      </c>
    </row>
    <row r="41" spans="1:11" s="45" customFormat="1" x14ac:dyDescent="0.35">
      <c r="A41" s="148"/>
      <c r="B41" s="151"/>
      <c r="C41" s="154"/>
      <c r="D41" s="154"/>
      <c r="E41" s="154"/>
      <c r="F41" s="154"/>
      <c r="G41" s="154"/>
    </row>
    <row r="42" spans="1:11" x14ac:dyDescent="0.3">
      <c r="A42" s="149"/>
      <c r="B42" s="152"/>
      <c r="C42" s="155"/>
      <c r="D42" s="155"/>
      <c r="E42" s="155"/>
      <c r="F42" s="155"/>
      <c r="G42" s="155"/>
    </row>
    <row r="44" spans="1:11" ht="28" x14ac:dyDescent="0.3">
      <c r="A44" s="43"/>
      <c r="B44" s="44" t="s">
        <v>22</v>
      </c>
      <c r="C44" s="44" t="s">
        <v>23</v>
      </c>
      <c r="D44" s="45"/>
      <c r="E44" s="44" t="s">
        <v>22</v>
      </c>
      <c r="F44" s="29">
        <f>B45</f>
        <v>2.6573412891118449</v>
      </c>
      <c r="G44" s="29">
        <f>B46</f>
        <v>1.2730119582210933</v>
      </c>
      <c r="H44" s="29">
        <f>B47</f>
        <v>1.0116434513910808</v>
      </c>
      <c r="I44" s="29">
        <v>1</v>
      </c>
      <c r="J44" s="29">
        <v>1</v>
      </c>
      <c r="K44" s="29">
        <v>1</v>
      </c>
    </row>
    <row r="45" spans="1:11" x14ac:dyDescent="0.3">
      <c r="A45" s="29" t="s">
        <v>24</v>
      </c>
      <c r="B45" s="29">
        <f>(C25+C28+C31+C34+C37)/(B34+B31+B28+B25+B37)</f>
        <v>2.6573412891118449</v>
      </c>
      <c r="C45" s="30">
        <f>B45*B46*B47*B50*B48*B49</f>
        <v>3.4222150226254389</v>
      </c>
      <c r="F45" s="52">
        <v>0</v>
      </c>
      <c r="G45" s="52">
        <v>1</v>
      </c>
      <c r="H45" s="52">
        <v>2</v>
      </c>
      <c r="I45" s="52">
        <v>3</v>
      </c>
      <c r="J45" s="52">
        <v>4</v>
      </c>
      <c r="K45" s="52">
        <v>5</v>
      </c>
    </row>
    <row r="46" spans="1:11" x14ac:dyDescent="0.3">
      <c r="A46" s="31" t="s">
        <v>25</v>
      </c>
      <c r="B46" s="29">
        <f>(D25+D28+D31+D34)/(C31+C28+C25+C34)</f>
        <v>1.2730119582210933</v>
      </c>
      <c r="C46" s="30">
        <f>B46*B47*B50*B48*B49</f>
        <v>1.2878342110769052</v>
      </c>
    </row>
    <row r="47" spans="1:11" x14ac:dyDescent="0.3">
      <c r="A47" s="31" t="s">
        <v>26</v>
      </c>
      <c r="B47" s="29">
        <f>(E25+E28+E31)/(D28+D25+D31)</f>
        <v>1.0116434513910808</v>
      </c>
      <c r="C47" s="30">
        <f>B47*B50*B48*B49</f>
        <v>1.0116434513910808</v>
      </c>
    </row>
    <row r="48" spans="1:11" ht="14.5" customHeight="1" x14ac:dyDescent="0.3">
      <c r="A48" s="32" t="s">
        <v>27</v>
      </c>
      <c r="B48" s="33">
        <f>SUM(F25:F30)/SUM(E25:E30)</f>
        <v>1</v>
      </c>
      <c r="C48" s="30">
        <f>PRODUCT(B48:B50)</f>
        <v>1</v>
      </c>
    </row>
    <row r="49" spans="1:10" ht="14.5" customHeight="1" x14ac:dyDescent="0.3">
      <c r="A49" s="32" t="s">
        <v>28</v>
      </c>
      <c r="B49" s="33">
        <f>SUM(G25)/F25</f>
        <v>1</v>
      </c>
      <c r="C49" s="30">
        <f>PRODUCT(B49:B50)</f>
        <v>1</v>
      </c>
    </row>
    <row r="50" spans="1:10" x14ac:dyDescent="0.3">
      <c r="A50" s="32" t="s">
        <v>29</v>
      </c>
      <c r="B50" s="33">
        <v>1</v>
      </c>
      <c r="C50" s="30">
        <v>1</v>
      </c>
    </row>
    <row r="51" spans="1:10" s="45" customFormat="1" x14ac:dyDescent="0.3">
      <c r="A51" s="34"/>
      <c r="B51" s="35"/>
      <c r="C51" s="21"/>
      <c r="D51" s="21"/>
      <c r="E51" s="21"/>
      <c r="F51" s="21"/>
      <c r="G51" s="21"/>
    </row>
    <row r="52" spans="1:10" x14ac:dyDescent="0.3">
      <c r="A52" s="130" t="s">
        <v>37</v>
      </c>
      <c r="B52" s="130"/>
      <c r="C52" s="130"/>
      <c r="D52" s="130"/>
      <c r="E52" s="130"/>
      <c r="F52" s="130"/>
      <c r="G52" s="130"/>
    </row>
    <row r="53" spans="1:10" x14ac:dyDescent="0.3">
      <c r="A53" s="130"/>
      <c r="B53" s="130"/>
      <c r="C53" s="130"/>
      <c r="D53" s="130"/>
      <c r="E53" s="130"/>
      <c r="F53" s="130"/>
      <c r="G53" s="130"/>
    </row>
    <row r="54" spans="1:10" ht="28" x14ac:dyDescent="0.3">
      <c r="A54" s="36" t="s">
        <v>38</v>
      </c>
      <c r="B54" s="36" t="s">
        <v>39</v>
      </c>
      <c r="C54" s="36" t="s">
        <v>40</v>
      </c>
      <c r="D54" s="36" t="s">
        <v>41</v>
      </c>
      <c r="E54" s="65"/>
      <c r="F54" s="45"/>
      <c r="G54" s="45"/>
    </row>
    <row r="55" spans="1:10" x14ac:dyDescent="0.3">
      <c r="A55" s="30">
        <v>1</v>
      </c>
      <c r="B55" s="30">
        <f>C50</f>
        <v>1</v>
      </c>
      <c r="C55" s="30">
        <f>1-(1/B55)</f>
        <v>0</v>
      </c>
      <c r="D55" s="40">
        <f>C55</f>
        <v>0</v>
      </c>
      <c r="E55" s="66"/>
    </row>
    <row r="56" spans="1:10" x14ac:dyDescent="0.3">
      <c r="A56" s="30">
        <v>2</v>
      </c>
      <c r="B56" s="30">
        <v>1</v>
      </c>
      <c r="C56" s="30">
        <f>1-(1/B56)</f>
        <v>0</v>
      </c>
      <c r="D56" s="40">
        <f>C56</f>
        <v>0</v>
      </c>
      <c r="E56" s="66"/>
    </row>
    <row r="57" spans="1:10" x14ac:dyDescent="0.3">
      <c r="A57" s="30">
        <v>3</v>
      </c>
      <c r="B57" s="30">
        <f>C48</f>
        <v>1</v>
      </c>
      <c r="C57" s="30">
        <f t="shared" ref="C57:C60" si="3">1-(1/B57)</f>
        <v>0</v>
      </c>
      <c r="D57" s="40">
        <f t="shared" ref="D57:D60" si="4">C57</f>
        <v>0</v>
      </c>
      <c r="E57" s="66"/>
    </row>
    <row r="58" spans="1:10" x14ac:dyDescent="0.3">
      <c r="A58" s="30">
        <v>4</v>
      </c>
      <c r="B58" s="30">
        <f>C47</f>
        <v>1.0116434513910808</v>
      </c>
      <c r="C58" s="30">
        <f t="shared" si="3"/>
        <v>1.1509441765347517E-2</v>
      </c>
      <c r="D58" s="40">
        <f t="shared" si="4"/>
        <v>1.1509441765347517E-2</v>
      </c>
      <c r="E58" s="66"/>
    </row>
    <row r="59" spans="1:10" x14ac:dyDescent="0.3">
      <c r="A59" s="30">
        <v>5</v>
      </c>
      <c r="B59" s="30">
        <f>C46</f>
        <v>1.2878342110769052</v>
      </c>
      <c r="C59" s="30">
        <f t="shared" si="3"/>
        <v>0.22350253518751784</v>
      </c>
      <c r="D59" s="40">
        <f t="shared" si="4"/>
        <v>0.22350253518751784</v>
      </c>
      <c r="E59" s="66"/>
    </row>
    <row r="60" spans="1:10" x14ac:dyDescent="0.3">
      <c r="A60" s="30">
        <v>6</v>
      </c>
      <c r="B60" s="30">
        <f>C45</f>
        <v>3.4222150226254389</v>
      </c>
      <c r="C60" s="30">
        <f t="shared" si="3"/>
        <v>0.70779159305050776</v>
      </c>
      <c r="D60" s="40">
        <f t="shared" si="4"/>
        <v>0.70779159305050776</v>
      </c>
      <c r="E60" s="66"/>
    </row>
    <row r="62" spans="1:10" x14ac:dyDescent="0.3">
      <c r="A62" s="42" t="s">
        <v>42</v>
      </c>
    </row>
    <row r="63" spans="1:10" ht="42" x14ac:dyDescent="0.3">
      <c r="A63" s="36" t="s">
        <v>38</v>
      </c>
      <c r="B63" s="36" t="s">
        <v>43</v>
      </c>
      <c r="C63" s="36" t="s">
        <v>44</v>
      </c>
      <c r="D63" s="36" t="s">
        <v>45</v>
      </c>
      <c r="E63" s="36" t="s">
        <v>46</v>
      </c>
      <c r="F63" s="36" t="s">
        <v>47</v>
      </c>
      <c r="G63" s="36" t="s">
        <v>48</v>
      </c>
      <c r="H63" s="36" t="s">
        <v>49</v>
      </c>
      <c r="I63" s="36" t="s">
        <v>68</v>
      </c>
      <c r="J63" s="80" t="s">
        <v>50</v>
      </c>
    </row>
    <row r="64" spans="1:10" x14ac:dyDescent="0.3">
      <c r="A64" s="30">
        <v>1</v>
      </c>
      <c r="B64" s="38">
        <f>G25</f>
        <v>208809661</v>
      </c>
      <c r="C64" s="39">
        <f>SUM(B78:C80)</f>
        <v>542839141.38</v>
      </c>
      <c r="D64" s="37">
        <f>B64/C64</f>
        <v>0.38466213115945591</v>
      </c>
      <c r="E64" s="40">
        <f>AVERAGE(D64:D69)</f>
        <v>0.48212110158649474</v>
      </c>
      <c r="F64" s="39">
        <f>D64*C64</f>
        <v>208809661</v>
      </c>
      <c r="G64" s="39">
        <f>F64*D55</f>
        <v>0</v>
      </c>
      <c r="H64" s="165">
        <f>SUM(G64:G69)</f>
        <v>133225305.80730496</v>
      </c>
      <c r="I64" s="39">
        <f>F64-G64</f>
        <v>208809661</v>
      </c>
      <c r="J64" s="40">
        <f>ABS(B64-I64)/B64</f>
        <v>0</v>
      </c>
    </row>
    <row r="65" spans="1:10" x14ac:dyDescent="0.3">
      <c r="A65" s="30">
        <v>2</v>
      </c>
      <c r="B65" s="38">
        <f>G28</f>
        <v>91102006</v>
      </c>
      <c r="C65" s="39">
        <f>SUM(B81:C83)</f>
        <v>196338877.61000001</v>
      </c>
      <c r="D65" s="37">
        <f t="shared" ref="D65:D67" si="5">B65/C65</f>
        <v>0.46400390543619952</v>
      </c>
      <c r="E65" s="40">
        <v>0.48839765023913501</v>
      </c>
      <c r="F65" s="39">
        <f t="shared" ref="F65:F69" si="6">D65*C65</f>
        <v>91102006</v>
      </c>
      <c r="G65" s="39">
        <f t="shared" ref="G65:G67" si="7">F65*D56</f>
        <v>0</v>
      </c>
      <c r="H65" s="165"/>
      <c r="I65" s="39">
        <f t="shared" ref="I65:I69" si="8">F65-G65</f>
        <v>91102006</v>
      </c>
      <c r="J65" s="40">
        <f t="shared" ref="J65:J69" si="9">ABS(B65-I65)/B65</f>
        <v>0</v>
      </c>
    </row>
    <row r="66" spans="1:10" x14ac:dyDescent="0.3">
      <c r="A66" s="30">
        <v>3</v>
      </c>
      <c r="B66" s="38">
        <f>G31</f>
        <v>144397458</v>
      </c>
      <c r="C66" s="39">
        <f>SUM(B84:C86)</f>
        <v>452267310</v>
      </c>
      <c r="D66" s="37">
        <f t="shared" si="5"/>
        <v>0.31927458564272532</v>
      </c>
      <c r="E66" s="40">
        <v>0.48839765023913501</v>
      </c>
      <c r="F66" s="39">
        <f t="shared" si="6"/>
        <v>144397458</v>
      </c>
      <c r="G66" s="39">
        <f t="shared" si="7"/>
        <v>0</v>
      </c>
      <c r="H66" s="165"/>
      <c r="I66" s="39">
        <f t="shared" si="8"/>
        <v>144397458</v>
      </c>
      <c r="J66" s="40">
        <f t="shared" si="9"/>
        <v>0</v>
      </c>
    </row>
    <row r="67" spans="1:10" x14ac:dyDescent="0.3">
      <c r="A67" s="30">
        <v>4</v>
      </c>
      <c r="B67" s="38">
        <f>G34</f>
        <v>299962254.09531236</v>
      </c>
      <c r="C67" s="39">
        <f>SUM(B87:C89)</f>
        <v>672029101.55999994</v>
      </c>
      <c r="D67" s="37">
        <f t="shared" si="5"/>
        <v>0.44635307220922665</v>
      </c>
      <c r="E67" s="40">
        <v>0.48839765023913501</v>
      </c>
      <c r="F67" s="39">
        <f t="shared" si="6"/>
        <v>299962254.09531236</v>
      </c>
      <c r="G67" s="39">
        <f t="shared" si="7"/>
        <v>3452398.0953123723</v>
      </c>
      <c r="H67" s="165"/>
      <c r="I67" s="39">
        <f t="shared" si="8"/>
        <v>296509856</v>
      </c>
      <c r="J67" s="40">
        <f t="shared" si="9"/>
        <v>1.1509441765347466E-2</v>
      </c>
    </row>
    <row r="68" spans="1:10" x14ac:dyDescent="0.3">
      <c r="A68" s="30">
        <v>5</v>
      </c>
      <c r="B68" s="38">
        <f>G37</f>
        <v>115160954.22358491</v>
      </c>
      <c r="C68" s="39">
        <f>SUM(F78:G80)</f>
        <v>224575208.68000001</v>
      </c>
      <c r="D68" s="37">
        <f>B68/C68</f>
        <v>0.51279459963757257</v>
      </c>
      <c r="E68" s="40">
        <v>0.48839765023913501</v>
      </c>
      <c r="F68" s="39">
        <f t="shared" si="6"/>
        <v>115160954.22358492</v>
      </c>
      <c r="G68" s="39">
        <f>F68*D59</f>
        <v>25738765.22358492</v>
      </c>
      <c r="H68" s="165"/>
      <c r="I68" s="39">
        <f t="shared" si="8"/>
        <v>89422189</v>
      </c>
      <c r="J68" s="40">
        <f t="shared" si="9"/>
        <v>0.22350253518751775</v>
      </c>
    </row>
    <row r="69" spans="1:10" x14ac:dyDescent="0.3">
      <c r="A69" s="30">
        <v>6</v>
      </c>
      <c r="B69" s="38">
        <f>G40</f>
        <v>146984145.48840767</v>
      </c>
      <c r="C69" s="39">
        <f>SUM(F81:G83)</f>
        <v>191975953.30000001</v>
      </c>
      <c r="D69" s="37">
        <f>B69/C69</f>
        <v>0.76563831543378857</v>
      </c>
      <c r="E69" s="40">
        <v>0.48839765023913501</v>
      </c>
      <c r="F69" s="39">
        <f t="shared" si="6"/>
        <v>146984145.48840767</v>
      </c>
      <c r="G69" s="39">
        <f>F69*D60</f>
        <v>104034142.48840767</v>
      </c>
      <c r="H69" s="165"/>
      <c r="I69" s="39">
        <f t="shared" si="8"/>
        <v>42950003</v>
      </c>
      <c r="J69" s="40">
        <f t="shared" si="9"/>
        <v>0.70779159305050776</v>
      </c>
    </row>
    <row r="70" spans="1:10" x14ac:dyDescent="0.3">
      <c r="I70" s="82">
        <f>AVERAGE(I64:I69)</f>
        <v>145531862.16666666</v>
      </c>
      <c r="J70" s="83">
        <f>AVERAGE(J64:J69)</f>
        <v>0.1571339283338955</v>
      </c>
    </row>
    <row r="71" spans="1:10" x14ac:dyDescent="0.3">
      <c r="A71" s="21" t="s">
        <v>51</v>
      </c>
      <c r="J71" s="27"/>
    </row>
    <row r="72" spans="1:10" x14ac:dyDescent="0.3">
      <c r="A72" s="21" t="s">
        <v>52</v>
      </c>
      <c r="J72" s="27"/>
    </row>
    <row r="73" spans="1:10" x14ac:dyDescent="0.3">
      <c r="A73" s="21" t="s">
        <v>53</v>
      </c>
      <c r="J73" s="27"/>
    </row>
    <row r="75" spans="1:10" x14ac:dyDescent="0.3">
      <c r="H75" s="21" t="s">
        <v>14</v>
      </c>
    </row>
    <row r="77" spans="1:10" x14ac:dyDescent="0.3">
      <c r="A77" s="47" t="s">
        <v>54</v>
      </c>
      <c r="B77" s="134" t="s">
        <v>55</v>
      </c>
      <c r="C77" s="135"/>
      <c r="D77" s="48"/>
      <c r="E77" s="47" t="s">
        <v>1</v>
      </c>
      <c r="F77" s="136" t="s">
        <v>55</v>
      </c>
      <c r="G77" s="136"/>
    </row>
    <row r="78" spans="1:10" x14ac:dyDescent="0.3">
      <c r="A78" s="23">
        <v>45292</v>
      </c>
      <c r="B78" s="128">
        <v>291922566.38</v>
      </c>
      <c r="C78" s="129"/>
      <c r="D78" s="49"/>
      <c r="E78" s="23">
        <v>45658</v>
      </c>
      <c r="F78" s="127">
        <v>101167203.29000001</v>
      </c>
      <c r="G78" s="127"/>
    </row>
    <row r="79" spans="1:10" x14ac:dyDescent="0.3">
      <c r="A79" s="23">
        <v>45323</v>
      </c>
      <c r="B79" s="128">
        <v>184554129</v>
      </c>
      <c r="C79" s="129"/>
      <c r="D79" s="49"/>
      <c r="E79" s="23">
        <v>45689</v>
      </c>
      <c r="F79" s="127">
        <v>56719742</v>
      </c>
      <c r="G79" s="127"/>
    </row>
    <row r="80" spans="1:10" x14ac:dyDescent="0.3">
      <c r="A80" s="23">
        <v>45352</v>
      </c>
      <c r="B80" s="128">
        <v>66362446</v>
      </c>
      <c r="C80" s="129"/>
      <c r="D80" s="49"/>
      <c r="E80" s="23">
        <v>45717</v>
      </c>
      <c r="F80" s="127">
        <v>66688263.390000001</v>
      </c>
      <c r="G80" s="127"/>
    </row>
    <row r="81" spans="1:10" x14ac:dyDescent="0.3">
      <c r="A81" s="24">
        <v>45383</v>
      </c>
      <c r="B81" s="128">
        <v>69966160</v>
      </c>
      <c r="C81" s="129"/>
      <c r="D81" s="49"/>
      <c r="E81" s="24">
        <v>45748</v>
      </c>
      <c r="F81" s="127">
        <v>57962898.5</v>
      </c>
      <c r="G81" s="127"/>
    </row>
    <row r="82" spans="1:10" x14ac:dyDescent="0.3">
      <c r="A82" s="24">
        <v>45413</v>
      </c>
      <c r="B82" s="128">
        <v>69012958</v>
      </c>
      <c r="C82" s="129"/>
      <c r="D82" s="49"/>
      <c r="E82" s="24">
        <v>45778</v>
      </c>
      <c r="F82" s="127">
        <v>55407937</v>
      </c>
      <c r="G82" s="127"/>
    </row>
    <row r="83" spans="1:10" x14ac:dyDescent="0.3">
      <c r="A83" s="24">
        <v>45444</v>
      </c>
      <c r="B83" s="128">
        <v>57359759.609999999</v>
      </c>
      <c r="C83" s="129"/>
      <c r="D83" s="49"/>
      <c r="E83" s="24">
        <v>45809</v>
      </c>
      <c r="F83" s="127">
        <v>78605117.799999997</v>
      </c>
      <c r="G83" s="127"/>
      <c r="H83" s="49"/>
      <c r="I83" s="49"/>
      <c r="J83" s="49"/>
    </row>
    <row r="84" spans="1:10" x14ac:dyDescent="0.3">
      <c r="A84" s="23">
        <v>45474</v>
      </c>
      <c r="B84" s="128">
        <v>156485297</v>
      </c>
      <c r="C84" s="129"/>
      <c r="D84" s="49"/>
      <c r="E84" s="49"/>
      <c r="F84" s="49"/>
      <c r="G84" s="49"/>
      <c r="H84" s="49"/>
      <c r="I84" s="49"/>
      <c r="J84" s="49"/>
    </row>
    <row r="85" spans="1:10" x14ac:dyDescent="0.3">
      <c r="A85" s="23">
        <v>45505</v>
      </c>
      <c r="B85" s="128">
        <v>134354150</v>
      </c>
      <c r="C85" s="129"/>
      <c r="D85" s="49"/>
      <c r="E85" s="49"/>
      <c r="F85" s="49"/>
      <c r="G85" s="49"/>
      <c r="H85" s="49"/>
      <c r="I85" s="49"/>
      <c r="J85" s="49"/>
    </row>
    <row r="86" spans="1:10" x14ac:dyDescent="0.3">
      <c r="A86" s="23">
        <v>45536</v>
      </c>
      <c r="B86" s="128">
        <v>161427863</v>
      </c>
      <c r="C86" s="129"/>
      <c r="D86" s="49"/>
      <c r="E86" s="49"/>
      <c r="F86" s="49"/>
      <c r="G86" s="49"/>
      <c r="H86" s="49"/>
      <c r="I86" s="49"/>
      <c r="J86" s="49"/>
    </row>
    <row r="87" spans="1:10" x14ac:dyDescent="0.3">
      <c r="A87" s="24">
        <v>45566</v>
      </c>
      <c r="B87" s="128">
        <v>275434406.56</v>
      </c>
      <c r="C87" s="129"/>
      <c r="D87" s="49"/>
      <c r="E87" s="49"/>
      <c r="F87" s="49"/>
      <c r="G87" s="49"/>
      <c r="H87" s="49"/>
      <c r="I87" s="49"/>
      <c r="J87" s="49"/>
    </row>
    <row r="88" spans="1:10" x14ac:dyDescent="0.3">
      <c r="A88" s="24">
        <v>45597</v>
      </c>
      <c r="B88" s="128">
        <v>299304402</v>
      </c>
      <c r="C88" s="129"/>
      <c r="D88" s="49"/>
      <c r="E88" s="49"/>
      <c r="F88" s="49"/>
      <c r="G88" s="49"/>
      <c r="H88" s="49"/>
      <c r="I88" s="49"/>
      <c r="J88" s="49"/>
    </row>
    <row r="89" spans="1:10" x14ac:dyDescent="0.3">
      <c r="A89" s="24">
        <v>45627</v>
      </c>
      <c r="B89" s="138">
        <v>97290293</v>
      </c>
      <c r="C89" s="139"/>
      <c r="D89" s="49"/>
      <c r="E89" s="49"/>
      <c r="F89" s="49"/>
      <c r="G89" s="49"/>
      <c r="H89" s="49"/>
      <c r="I89" s="49"/>
      <c r="J89" s="49"/>
    </row>
  </sheetData>
  <mergeCells count="112">
    <mergeCell ref="B87:C87"/>
    <mergeCell ref="B88:C88"/>
    <mergeCell ref="B89:C89"/>
    <mergeCell ref="B81:C81"/>
    <mergeCell ref="F81:G81"/>
    <mergeCell ref="B82:C82"/>
    <mergeCell ref="F82:G82"/>
    <mergeCell ref="B83:C83"/>
    <mergeCell ref="F83:G83"/>
    <mergeCell ref="B84:C84"/>
    <mergeCell ref="B85:C85"/>
    <mergeCell ref="B86:C86"/>
    <mergeCell ref="H64:H69"/>
    <mergeCell ref="B77:C77"/>
    <mergeCell ref="F77:G77"/>
    <mergeCell ref="B78:C78"/>
    <mergeCell ref="F78:G78"/>
    <mergeCell ref="B79:C79"/>
    <mergeCell ref="F79:G79"/>
    <mergeCell ref="B80:C80"/>
    <mergeCell ref="F80:G80"/>
    <mergeCell ref="J1:AA1"/>
    <mergeCell ref="F3:F5"/>
    <mergeCell ref="F6:F8"/>
    <mergeCell ref="F9:F11"/>
    <mergeCell ref="F12:F14"/>
    <mergeCell ref="E9:E11"/>
    <mergeCell ref="G9:G11"/>
    <mergeCell ref="I1:I2"/>
    <mergeCell ref="A1:A2"/>
    <mergeCell ref="B1:G1"/>
    <mergeCell ref="A3:A5"/>
    <mergeCell ref="B3:B5"/>
    <mergeCell ref="C3:C5"/>
    <mergeCell ref="D3:D5"/>
    <mergeCell ref="E3:E5"/>
    <mergeCell ref="G3:G5"/>
    <mergeCell ref="A6:A8"/>
    <mergeCell ref="B6:B8"/>
    <mergeCell ref="C6:C8"/>
    <mergeCell ref="D6:D8"/>
    <mergeCell ref="E6:E8"/>
    <mergeCell ref="G6:G8"/>
    <mergeCell ref="A12:A14"/>
    <mergeCell ref="B12:B14"/>
    <mergeCell ref="C12:C14"/>
    <mergeCell ref="D12:D14"/>
    <mergeCell ref="E12:E14"/>
    <mergeCell ref="G12:G14"/>
    <mergeCell ref="A15:A17"/>
    <mergeCell ref="A9:A11"/>
    <mergeCell ref="B9:B11"/>
    <mergeCell ref="C9:C11"/>
    <mergeCell ref="D9:D11"/>
    <mergeCell ref="A23:A24"/>
    <mergeCell ref="B23:G23"/>
    <mergeCell ref="A18:A20"/>
    <mergeCell ref="B18:B20"/>
    <mergeCell ref="C18:C20"/>
    <mergeCell ref="D18:D20"/>
    <mergeCell ref="E18:E20"/>
    <mergeCell ref="G18:G20"/>
    <mergeCell ref="F15:F17"/>
    <mergeCell ref="F18:F20"/>
    <mergeCell ref="B15:B17"/>
    <mergeCell ref="C15:C17"/>
    <mergeCell ref="D15:D17"/>
    <mergeCell ref="E15:E17"/>
    <mergeCell ref="G15:G17"/>
    <mergeCell ref="A25:A27"/>
    <mergeCell ref="B25:B27"/>
    <mergeCell ref="C25:C27"/>
    <mergeCell ref="D25:D27"/>
    <mergeCell ref="F25:F27"/>
    <mergeCell ref="G25:G27"/>
    <mergeCell ref="E25:E27"/>
    <mergeCell ref="A31:A33"/>
    <mergeCell ref="B31:B33"/>
    <mergeCell ref="C31:C33"/>
    <mergeCell ref="D31:D33"/>
    <mergeCell ref="F31:F33"/>
    <mergeCell ref="G31:G33"/>
    <mergeCell ref="A28:A30"/>
    <mergeCell ref="B28:B30"/>
    <mergeCell ref="C28:C30"/>
    <mergeCell ref="D28:D30"/>
    <mergeCell ref="F28:F30"/>
    <mergeCell ref="G28:G30"/>
    <mergeCell ref="E28:E30"/>
    <mergeCell ref="E31:E33"/>
    <mergeCell ref="A52:G53"/>
    <mergeCell ref="A40:A42"/>
    <mergeCell ref="B40:B42"/>
    <mergeCell ref="C40:C42"/>
    <mergeCell ref="D40:D42"/>
    <mergeCell ref="F40:F42"/>
    <mergeCell ref="G40:G42"/>
    <mergeCell ref="A34:A36"/>
    <mergeCell ref="B34:B36"/>
    <mergeCell ref="C34:C36"/>
    <mergeCell ref="D34:D36"/>
    <mergeCell ref="F34:F36"/>
    <mergeCell ref="G34:G36"/>
    <mergeCell ref="E34:E36"/>
    <mergeCell ref="E40:E42"/>
    <mergeCell ref="A37:A39"/>
    <mergeCell ref="B37:B39"/>
    <mergeCell ref="C37:C39"/>
    <mergeCell ref="D37:D39"/>
    <mergeCell ref="E37:E39"/>
    <mergeCell ref="F37:F39"/>
    <mergeCell ref="G37:G39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A0AD-5DE9-4931-89E5-ED1294CBCFD1}">
  <dimension ref="A1:AM128"/>
  <sheetViews>
    <sheetView topLeftCell="A104" zoomScale="70" zoomScaleNormal="50" workbookViewId="0">
      <selection activeCell="H102" sqref="H102"/>
    </sheetView>
  </sheetViews>
  <sheetFormatPr defaultRowHeight="14" x14ac:dyDescent="0.3"/>
  <cols>
    <col min="1" max="1" width="11.90625" style="21" customWidth="1"/>
    <col min="2" max="2" width="16.26953125" style="21" customWidth="1"/>
    <col min="3" max="3" width="14.90625" style="21" customWidth="1"/>
    <col min="4" max="4" width="15.36328125" style="21" customWidth="1"/>
    <col min="5" max="5" width="17.453125" style="21" customWidth="1"/>
    <col min="6" max="6" width="15.54296875" style="21" customWidth="1"/>
    <col min="7" max="7" width="17.453125" style="21" customWidth="1"/>
    <col min="8" max="8" width="17.54296875" style="21" customWidth="1"/>
    <col min="9" max="9" width="15.54296875" style="21" customWidth="1"/>
    <col min="10" max="10" width="15.26953125" style="21" customWidth="1"/>
    <col min="11" max="11" width="14.81640625" style="21" customWidth="1"/>
    <col min="12" max="16" width="13.6328125" style="21" customWidth="1"/>
    <col min="17" max="17" width="14.6328125" style="21" customWidth="1"/>
    <col min="18" max="18" width="15.54296875" style="21" customWidth="1"/>
    <col min="19" max="19" width="16.36328125" style="21" customWidth="1"/>
    <col min="20" max="20" width="12.90625" style="21" customWidth="1"/>
    <col min="21" max="21" width="15.26953125" style="21" customWidth="1"/>
    <col min="22" max="22" width="12.90625" style="21" customWidth="1"/>
    <col min="23" max="23" width="12.7265625" style="21" customWidth="1"/>
    <col min="24" max="24" width="11.7265625" style="21" customWidth="1"/>
    <col min="25" max="25" width="14" style="21" customWidth="1"/>
    <col min="26" max="26" width="13.08984375" style="21" customWidth="1"/>
    <col min="27" max="27" width="12.26953125" style="21" customWidth="1"/>
    <col min="28" max="28" width="13.54296875" style="21" customWidth="1"/>
    <col min="29" max="30" width="13.26953125" style="21" customWidth="1"/>
    <col min="31" max="31" width="12" style="21" customWidth="1"/>
    <col min="32" max="32" width="13.08984375" style="21" customWidth="1"/>
    <col min="33" max="33" width="12.1796875" style="21" customWidth="1"/>
    <col min="34" max="34" width="13.08984375" style="21" customWidth="1"/>
    <col min="35" max="35" width="14.54296875" style="21" customWidth="1"/>
    <col min="36" max="36" width="13.26953125" style="21" customWidth="1"/>
    <col min="37" max="37" width="12" style="21" customWidth="1"/>
    <col min="38" max="38" width="12.453125" style="21" customWidth="1"/>
    <col min="39" max="39" width="13.7265625" style="21" customWidth="1"/>
    <col min="40" max="40" width="13.08984375" style="21" customWidth="1"/>
    <col min="41" max="41" width="15.36328125" style="21" customWidth="1"/>
    <col min="42" max="42" width="12" style="21" customWidth="1"/>
    <col min="43" max="43" width="8.7265625" style="21"/>
    <col min="44" max="44" width="13.08984375" style="21" customWidth="1"/>
    <col min="45" max="16384" width="8.7265625" style="21"/>
  </cols>
  <sheetData>
    <row r="1" spans="1:39" ht="17.5" x14ac:dyDescent="0.35">
      <c r="A1" s="137" t="s">
        <v>69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</row>
    <row r="3" spans="1:39" x14ac:dyDescent="0.3">
      <c r="A3" s="123" t="s">
        <v>19</v>
      </c>
      <c r="B3" s="140" t="s">
        <v>20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54"/>
      <c r="U3" s="125" t="s">
        <v>19</v>
      </c>
      <c r="V3" s="141" t="s">
        <v>20</v>
      </c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</row>
    <row r="4" spans="1:39" x14ac:dyDescent="0.3">
      <c r="A4" s="124"/>
      <c r="B4" s="41">
        <v>0</v>
      </c>
      <c r="C4" s="41">
        <v>1</v>
      </c>
      <c r="D4" s="41">
        <v>2</v>
      </c>
      <c r="E4" s="41">
        <v>3</v>
      </c>
      <c r="F4" s="41">
        <v>4</v>
      </c>
      <c r="G4" s="41">
        <v>5</v>
      </c>
      <c r="H4" s="41">
        <v>6</v>
      </c>
      <c r="I4" s="41">
        <v>7</v>
      </c>
      <c r="J4" s="41">
        <v>8</v>
      </c>
      <c r="K4" s="41">
        <v>9</v>
      </c>
      <c r="L4" s="41">
        <v>10</v>
      </c>
      <c r="M4" s="41">
        <v>11</v>
      </c>
      <c r="N4" s="41">
        <v>12</v>
      </c>
      <c r="O4" s="41">
        <v>13</v>
      </c>
      <c r="P4" s="41">
        <v>14</v>
      </c>
      <c r="Q4" s="41">
        <v>15</v>
      </c>
      <c r="R4" s="41">
        <v>16</v>
      </c>
      <c r="S4" s="41">
        <v>17</v>
      </c>
      <c r="T4" s="52"/>
      <c r="U4" s="126"/>
      <c r="V4" s="98">
        <v>45292</v>
      </c>
      <c r="W4" s="98">
        <v>45323</v>
      </c>
      <c r="X4" s="98">
        <v>45352</v>
      </c>
      <c r="Y4" s="98">
        <v>45383</v>
      </c>
      <c r="Z4" s="98">
        <v>45413</v>
      </c>
      <c r="AA4" s="98">
        <v>45444</v>
      </c>
      <c r="AB4" s="98">
        <v>45474</v>
      </c>
      <c r="AC4" s="98">
        <v>45505</v>
      </c>
      <c r="AD4" s="98">
        <v>45536</v>
      </c>
      <c r="AE4" s="98">
        <v>45566</v>
      </c>
      <c r="AF4" s="98">
        <v>45597</v>
      </c>
      <c r="AG4" s="98">
        <v>45627</v>
      </c>
      <c r="AH4" s="98">
        <v>45658</v>
      </c>
      <c r="AI4" s="98">
        <v>45689</v>
      </c>
      <c r="AJ4" s="98">
        <v>45717</v>
      </c>
      <c r="AK4" s="98">
        <v>45748</v>
      </c>
      <c r="AL4" s="98">
        <v>45778</v>
      </c>
      <c r="AM4" s="98">
        <v>45809</v>
      </c>
    </row>
    <row r="5" spans="1:39" x14ac:dyDescent="0.3">
      <c r="A5" s="23">
        <v>45292</v>
      </c>
      <c r="B5" s="114">
        <f>V5</f>
        <v>5000000</v>
      </c>
      <c r="C5" s="115">
        <f>W5</f>
        <v>7137616</v>
      </c>
      <c r="D5" s="114">
        <f t="shared" ref="D5:S5" si="0">X5</f>
        <v>0</v>
      </c>
      <c r="E5" s="115">
        <f t="shared" si="0"/>
        <v>0</v>
      </c>
      <c r="F5" s="114">
        <f t="shared" si="0"/>
        <v>0</v>
      </c>
      <c r="G5" s="115">
        <f t="shared" si="0"/>
        <v>0</v>
      </c>
      <c r="H5" s="114">
        <f t="shared" si="0"/>
        <v>122500000</v>
      </c>
      <c r="I5" s="115">
        <f t="shared" si="0"/>
        <v>0</v>
      </c>
      <c r="J5" s="114">
        <f t="shared" si="0"/>
        <v>0</v>
      </c>
      <c r="K5" s="115">
        <f t="shared" si="0"/>
        <v>0</v>
      </c>
      <c r="L5" s="114">
        <f t="shared" si="0"/>
        <v>0</v>
      </c>
      <c r="M5" s="115">
        <f t="shared" si="0"/>
        <v>0</v>
      </c>
      <c r="N5" s="114">
        <f t="shared" si="0"/>
        <v>0</v>
      </c>
      <c r="O5" s="115">
        <f t="shared" si="0"/>
        <v>0</v>
      </c>
      <c r="P5" s="114">
        <f t="shared" si="0"/>
        <v>0</v>
      </c>
      <c r="Q5" s="115">
        <f t="shared" si="0"/>
        <v>0</v>
      </c>
      <c r="R5" s="114">
        <f t="shared" si="0"/>
        <v>0</v>
      </c>
      <c r="S5" s="114">
        <f t="shared" si="0"/>
        <v>0</v>
      </c>
      <c r="U5" s="97">
        <v>45292</v>
      </c>
      <c r="V5" s="93">
        <v>5000000</v>
      </c>
      <c r="W5" s="93">
        <v>7137616</v>
      </c>
      <c r="X5" s="60">
        <v>0</v>
      </c>
      <c r="Y5" s="60">
        <v>0</v>
      </c>
      <c r="Z5" s="60">
        <v>0</v>
      </c>
      <c r="AA5" s="60">
        <v>0</v>
      </c>
      <c r="AB5" s="94">
        <v>122500000</v>
      </c>
      <c r="AC5" s="94">
        <v>0</v>
      </c>
      <c r="AD5" s="94">
        <v>0</v>
      </c>
      <c r="AE5" s="94">
        <v>0</v>
      </c>
      <c r="AF5" s="94">
        <v>0</v>
      </c>
      <c r="AG5" s="94">
        <v>0</v>
      </c>
      <c r="AH5" s="94">
        <v>0</v>
      </c>
      <c r="AI5" s="94">
        <v>0</v>
      </c>
      <c r="AJ5" s="94">
        <v>0</v>
      </c>
      <c r="AK5" s="94">
        <v>0</v>
      </c>
      <c r="AL5" s="94">
        <v>0</v>
      </c>
      <c r="AM5" s="94">
        <v>0</v>
      </c>
    </row>
    <row r="6" spans="1:39" x14ac:dyDescent="0.3">
      <c r="A6" s="23">
        <v>45323</v>
      </c>
      <c r="B6" s="116">
        <f>W6</f>
        <v>42950003</v>
      </c>
      <c r="C6" s="115">
        <f>X6</f>
        <v>534170</v>
      </c>
      <c r="D6" s="115">
        <f>Y6</f>
        <v>9928518</v>
      </c>
      <c r="E6" s="115">
        <f>Z6</f>
        <v>1180575</v>
      </c>
      <c r="F6" s="116">
        <f t="shared" ref="F6:R6" si="1">AA6</f>
        <v>0</v>
      </c>
      <c r="G6" s="115">
        <f t="shared" si="1"/>
        <v>0</v>
      </c>
      <c r="H6" s="115">
        <f t="shared" si="1"/>
        <v>0</v>
      </c>
      <c r="I6" s="115">
        <f t="shared" si="1"/>
        <v>0</v>
      </c>
      <c r="J6" s="116">
        <f t="shared" si="1"/>
        <v>0</v>
      </c>
      <c r="K6" s="115">
        <f t="shared" si="1"/>
        <v>0</v>
      </c>
      <c r="L6" s="115">
        <f t="shared" si="1"/>
        <v>0</v>
      </c>
      <c r="M6" s="115">
        <f t="shared" si="1"/>
        <v>0</v>
      </c>
      <c r="N6" s="116">
        <f t="shared" si="1"/>
        <v>0</v>
      </c>
      <c r="O6" s="115">
        <f t="shared" si="1"/>
        <v>0</v>
      </c>
      <c r="P6" s="115">
        <f t="shared" si="1"/>
        <v>0</v>
      </c>
      <c r="Q6" s="115">
        <f t="shared" si="1"/>
        <v>0</v>
      </c>
      <c r="R6" s="117">
        <f t="shared" si="1"/>
        <v>0</v>
      </c>
      <c r="S6" s="114"/>
      <c r="U6" s="97">
        <v>45323</v>
      </c>
      <c r="V6" s="60"/>
      <c r="W6" s="60">
        <v>42950003</v>
      </c>
      <c r="X6" s="93">
        <v>534170</v>
      </c>
      <c r="Y6" s="93">
        <v>9928518</v>
      </c>
      <c r="Z6" s="93">
        <v>1180575</v>
      </c>
      <c r="AA6" s="60">
        <v>0</v>
      </c>
      <c r="AB6" s="60">
        <v>0</v>
      </c>
      <c r="AC6" s="60">
        <v>0</v>
      </c>
      <c r="AD6" s="94">
        <v>0</v>
      </c>
      <c r="AE6" s="94">
        <v>0</v>
      </c>
      <c r="AF6" s="94">
        <v>0</v>
      </c>
      <c r="AG6" s="94">
        <v>0</v>
      </c>
      <c r="AH6" s="94">
        <v>0</v>
      </c>
      <c r="AI6" s="94">
        <v>0</v>
      </c>
      <c r="AJ6" s="94">
        <v>0</v>
      </c>
      <c r="AK6" s="94">
        <v>0</v>
      </c>
      <c r="AL6" s="94">
        <v>0</v>
      </c>
      <c r="AM6" s="94">
        <v>0</v>
      </c>
    </row>
    <row r="7" spans="1:39" x14ac:dyDescent="0.3">
      <c r="A7" s="23">
        <v>45352</v>
      </c>
      <c r="B7" s="116">
        <v>0</v>
      </c>
      <c r="C7" s="115">
        <f>Y7</f>
        <v>13331739</v>
      </c>
      <c r="D7" s="115">
        <f>Z7</f>
        <v>6247040</v>
      </c>
      <c r="E7" s="115">
        <f t="shared" ref="E7:Q7" si="2">AA7</f>
        <v>0</v>
      </c>
      <c r="F7" s="115">
        <f t="shared" si="2"/>
        <v>0</v>
      </c>
      <c r="G7" s="115">
        <f t="shared" si="2"/>
        <v>0</v>
      </c>
      <c r="H7" s="115">
        <f t="shared" si="2"/>
        <v>0</v>
      </c>
      <c r="I7" s="115">
        <f t="shared" si="2"/>
        <v>0</v>
      </c>
      <c r="J7" s="115">
        <f t="shared" si="2"/>
        <v>0</v>
      </c>
      <c r="K7" s="115">
        <f t="shared" si="2"/>
        <v>0</v>
      </c>
      <c r="L7" s="115">
        <f t="shared" si="2"/>
        <v>0</v>
      </c>
      <c r="M7" s="115">
        <f t="shared" si="2"/>
        <v>0</v>
      </c>
      <c r="N7" s="115">
        <f t="shared" si="2"/>
        <v>0</v>
      </c>
      <c r="O7" s="115">
        <f t="shared" si="2"/>
        <v>0</v>
      </c>
      <c r="P7" s="115">
        <f t="shared" si="2"/>
        <v>0</v>
      </c>
      <c r="Q7" s="115">
        <f t="shared" si="2"/>
        <v>0</v>
      </c>
      <c r="R7" s="118"/>
      <c r="S7" s="118"/>
      <c r="U7" s="97">
        <v>45352</v>
      </c>
      <c r="V7" s="60"/>
      <c r="W7" s="60"/>
      <c r="X7" s="60"/>
      <c r="Y7" s="93">
        <v>13331739</v>
      </c>
      <c r="Z7" s="60">
        <v>6247040</v>
      </c>
      <c r="AA7" s="60">
        <v>0</v>
      </c>
      <c r="AB7" s="60">
        <v>0</v>
      </c>
      <c r="AC7" s="60">
        <v>0</v>
      </c>
      <c r="AD7" s="94">
        <v>0</v>
      </c>
      <c r="AE7" s="94">
        <v>0</v>
      </c>
      <c r="AF7" s="94">
        <v>0</v>
      </c>
      <c r="AG7" s="94">
        <v>0</v>
      </c>
      <c r="AH7" s="94">
        <v>0</v>
      </c>
      <c r="AI7" s="94">
        <v>0</v>
      </c>
      <c r="AJ7" s="94">
        <v>0</v>
      </c>
      <c r="AK7" s="94">
        <v>0</v>
      </c>
      <c r="AL7" s="94">
        <v>0</v>
      </c>
      <c r="AM7" s="94">
        <v>0</v>
      </c>
    </row>
    <row r="8" spans="1:39" x14ac:dyDescent="0.3">
      <c r="A8" s="24">
        <v>45383</v>
      </c>
      <c r="B8" s="116">
        <f>Y8</f>
        <v>6700000</v>
      </c>
      <c r="C8" s="116">
        <f>Z8</f>
        <v>15597640</v>
      </c>
      <c r="D8" s="116">
        <f>AA8</f>
        <v>10189219</v>
      </c>
      <c r="E8" s="116">
        <f t="shared" ref="E8:P8" si="3">AB8</f>
        <v>0</v>
      </c>
      <c r="F8" s="116">
        <f t="shared" si="3"/>
        <v>0</v>
      </c>
      <c r="G8" s="116">
        <f t="shared" si="3"/>
        <v>0</v>
      </c>
      <c r="H8" s="116">
        <f t="shared" si="3"/>
        <v>0</v>
      </c>
      <c r="I8" s="116">
        <f t="shared" si="3"/>
        <v>0</v>
      </c>
      <c r="J8" s="116">
        <f t="shared" si="3"/>
        <v>0</v>
      </c>
      <c r="K8" s="116">
        <f t="shared" si="3"/>
        <v>0</v>
      </c>
      <c r="L8" s="116">
        <f t="shared" si="3"/>
        <v>0</v>
      </c>
      <c r="M8" s="116">
        <f t="shared" si="3"/>
        <v>0</v>
      </c>
      <c r="N8" s="116">
        <f t="shared" si="3"/>
        <v>0</v>
      </c>
      <c r="O8" s="116">
        <f t="shared" si="3"/>
        <v>0</v>
      </c>
      <c r="P8" s="116">
        <f t="shared" si="3"/>
        <v>0</v>
      </c>
      <c r="Q8" s="118"/>
      <c r="R8" s="118"/>
      <c r="S8" s="118"/>
      <c r="U8" s="97">
        <v>45383</v>
      </c>
      <c r="V8" s="60"/>
      <c r="W8" s="60"/>
      <c r="X8" s="60"/>
      <c r="Y8" s="60">
        <v>6700000</v>
      </c>
      <c r="Z8" s="93">
        <v>15597640</v>
      </c>
      <c r="AA8" s="60">
        <v>10189219</v>
      </c>
      <c r="AB8" s="60">
        <v>0</v>
      </c>
      <c r="AC8" s="60">
        <v>0</v>
      </c>
      <c r="AD8" s="94">
        <v>0</v>
      </c>
      <c r="AE8" s="94">
        <v>0</v>
      </c>
      <c r="AF8" s="94">
        <v>0</v>
      </c>
      <c r="AG8" s="94">
        <v>0</v>
      </c>
      <c r="AH8" s="94">
        <v>0</v>
      </c>
      <c r="AI8" s="94">
        <v>0</v>
      </c>
      <c r="AJ8" s="94">
        <v>0</v>
      </c>
      <c r="AK8" s="94">
        <v>0</v>
      </c>
      <c r="AL8" s="94">
        <v>0</v>
      </c>
      <c r="AM8" s="94">
        <v>0</v>
      </c>
    </row>
    <row r="9" spans="1:39" x14ac:dyDescent="0.3">
      <c r="A9" s="24">
        <v>45413</v>
      </c>
      <c r="B9" s="116">
        <v>0</v>
      </c>
      <c r="C9" s="116">
        <f>AA9</f>
        <v>1873260</v>
      </c>
      <c r="D9" s="116">
        <f>AB9</f>
        <v>35669029</v>
      </c>
      <c r="E9" s="116">
        <f t="shared" ref="E9:O9" si="4">AC9</f>
        <v>0</v>
      </c>
      <c r="F9" s="116">
        <f t="shared" si="4"/>
        <v>0</v>
      </c>
      <c r="G9" s="116">
        <f t="shared" si="4"/>
        <v>0</v>
      </c>
      <c r="H9" s="116">
        <f t="shared" si="4"/>
        <v>0</v>
      </c>
      <c r="I9" s="116">
        <f t="shared" si="4"/>
        <v>0</v>
      </c>
      <c r="J9" s="116">
        <f t="shared" si="4"/>
        <v>3250000</v>
      </c>
      <c r="K9" s="116">
        <f t="shared" si="4"/>
        <v>0</v>
      </c>
      <c r="L9" s="116">
        <f t="shared" si="4"/>
        <v>0</v>
      </c>
      <c r="M9" s="116">
        <f t="shared" si="4"/>
        <v>0</v>
      </c>
      <c r="N9" s="116">
        <f t="shared" si="4"/>
        <v>0</v>
      </c>
      <c r="O9" s="116">
        <f t="shared" si="4"/>
        <v>0</v>
      </c>
      <c r="P9" s="116"/>
      <c r="Q9" s="118"/>
      <c r="R9" s="118"/>
      <c r="S9" s="118"/>
      <c r="U9" s="97">
        <v>45413</v>
      </c>
      <c r="V9" s="60"/>
      <c r="W9" s="60"/>
      <c r="X9" s="60"/>
      <c r="Y9" s="60"/>
      <c r="Z9" s="60"/>
      <c r="AA9" s="60">
        <v>1873260</v>
      </c>
      <c r="AB9" s="60">
        <v>35669029</v>
      </c>
      <c r="AC9" s="60">
        <v>0</v>
      </c>
      <c r="AD9" s="60">
        <v>0</v>
      </c>
      <c r="AE9" s="60">
        <v>0</v>
      </c>
      <c r="AF9" s="60">
        <v>0</v>
      </c>
      <c r="AG9" s="60">
        <v>0</v>
      </c>
      <c r="AH9" s="60">
        <v>3250000</v>
      </c>
      <c r="AI9" s="60">
        <v>0</v>
      </c>
      <c r="AJ9" s="60">
        <v>0</v>
      </c>
      <c r="AK9" s="94">
        <v>0</v>
      </c>
      <c r="AL9" s="94">
        <v>0</v>
      </c>
      <c r="AM9" s="94">
        <v>0</v>
      </c>
    </row>
    <row r="10" spans="1:39" x14ac:dyDescent="0.3">
      <c r="A10" s="24">
        <v>45444</v>
      </c>
      <c r="B10" s="116">
        <v>0</v>
      </c>
      <c r="C10" s="116">
        <f>AB10</f>
        <v>4500000</v>
      </c>
      <c r="D10" s="116">
        <f>AC10</f>
        <v>11459108</v>
      </c>
      <c r="E10" s="116">
        <f t="shared" ref="E10:M10" si="5">AD10</f>
        <v>0</v>
      </c>
      <c r="F10" s="116">
        <f t="shared" si="5"/>
        <v>0</v>
      </c>
      <c r="G10" s="116">
        <f t="shared" si="5"/>
        <v>0</v>
      </c>
      <c r="H10" s="116">
        <f t="shared" si="5"/>
        <v>0</v>
      </c>
      <c r="I10" s="116">
        <f t="shared" si="5"/>
        <v>0</v>
      </c>
      <c r="J10" s="116">
        <f t="shared" si="5"/>
        <v>0</v>
      </c>
      <c r="K10" s="116">
        <f t="shared" si="5"/>
        <v>1863750</v>
      </c>
      <c r="L10" s="116">
        <f t="shared" si="5"/>
        <v>0</v>
      </c>
      <c r="M10" s="116">
        <f t="shared" si="5"/>
        <v>0</v>
      </c>
      <c r="N10" s="116"/>
      <c r="O10" s="116"/>
      <c r="P10" s="116"/>
      <c r="Q10" s="118"/>
      <c r="R10" s="118"/>
      <c r="S10" s="118"/>
      <c r="U10" s="97">
        <v>45444</v>
      </c>
      <c r="V10" s="60"/>
      <c r="W10" s="60"/>
      <c r="X10" s="60"/>
      <c r="Y10" s="60"/>
      <c r="Z10" s="60"/>
      <c r="AA10" s="60"/>
      <c r="AB10" s="60">
        <v>4500000</v>
      </c>
      <c r="AC10" s="60">
        <v>11459108</v>
      </c>
      <c r="AD10" s="60">
        <v>0</v>
      </c>
      <c r="AE10" s="60">
        <v>0</v>
      </c>
      <c r="AF10" s="60">
        <v>0</v>
      </c>
      <c r="AG10" s="60">
        <v>0</v>
      </c>
      <c r="AH10" s="60">
        <v>0</v>
      </c>
      <c r="AI10" s="60">
        <v>0</v>
      </c>
      <c r="AJ10" s="95">
        <v>1863750</v>
      </c>
      <c r="AK10" s="94">
        <v>0</v>
      </c>
      <c r="AL10" s="94">
        <v>0</v>
      </c>
      <c r="AM10" s="94">
        <v>0</v>
      </c>
    </row>
    <row r="11" spans="1:39" x14ac:dyDescent="0.3">
      <c r="A11" s="23">
        <v>45474</v>
      </c>
      <c r="B11" s="116">
        <f>AB11</f>
        <v>934638</v>
      </c>
      <c r="C11" s="116">
        <f>AC11</f>
        <v>17460200</v>
      </c>
      <c r="D11" s="116">
        <f>AD11</f>
        <v>37281107</v>
      </c>
      <c r="E11" s="116">
        <f t="shared" ref="E11:K11" si="6">AE11</f>
        <v>0</v>
      </c>
      <c r="F11" s="116">
        <f t="shared" si="6"/>
        <v>0</v>
      </c>
      <c r="G11" s="116">
        <f t="shared" si="6"/>
        <v>0</v>
      </c>
      <c r="H11" s="116">
        <f t="shared" si="6"/>
        <v>0</v>
      </c>
      <c r="I11" s="116">
        <f t="shared" si="6"/>
        <v>0</v>
      </c>
      <c r="J11" s="116">
        <f t="shared" si="6"/>
        <v>0</v>
      </c>
      <c r="K11" s="116">
        <f t="shared" si="6"/>
        <v>0</v>
      </c>
      <c r="L11" s="116"/>
      <c r="M11" s="116"/>
      <c r="N11" s="116"/>
      <c r="O11" s="116"/>
      <c r="P11" s="116"/>
      <c r="Q11" s="118"/>
      <c r="R11" s="118"/>
      <c r="S11" s="118"/>
      <c r="U11" s="97">
        <v>45474</v>
      </c>
      <c r="V11" s="60"/>
      <c r="W11" s="60"/>
      <c r="X11" s="60"/>
      <c r="Y11" s="60"/>
      <c r="Z11" s="60"/>
      <c r="AA11" s="60"/>
      <c r="AB11" s="60">
        <v>934638</v>
      </c>
      <c r="AC11" s="60">
        <v>17460200</v>
      </c>
      <c r="AD11" s="60">
        <v>37281107</v>
      </c>
      <c r="AE11" s="60">
        <v>0</v>
      </c>
      <c r="AF11" s="60">
        <v>0</v>
      </c>
      <c r="AG11" s="60">
        <v>0</v>
      </c>
      <c r="AH11" s="60">
        <v>0</v>
      </c>
      <c r="AI11" s="60">
        <v>0</v>
      </c>
      <c r="AJ11" s="96">
        <v>0</v>
      </c>
      <c r="AK11" s="94">
        <v>0</v>
      </c>
      <c r="AL11" s="94">
        <v>0</v>
      </c>
      <c r="AM11" s="94">
        <v>0</v>
      </c>
    </row>
    <row r="12" spans="1:39" x14ac:dyDescent="0.3">
      <c r="A12" s="23">
        <v>45505</v>
      </c>
      <c r="B12" s="116">
        <f>AC12</f>
        <v>728790</v>
      </c>
      <c r="C12" s="116">
        <f>AD12</f>
        <v>11960178</v>
      </c>
      <c r="D12" s="116">
        <f>AE12</f>
        <v>29390042</v>
      </c>
      <c r="E12" s="116">
        <f t="shared" ref="E12:J12" si="7">AF12</f>
        <v>0</v>
      </c>
      <c r="F12" s="116">
        <f t="shared" si="7"/>
        <v>0</v>
      </c>
      <c r="G12" s="116">
        <f t="shared" si="7"/>
        <v>0</v>
      </c>
      <c r="H12" s="116">
        <f t="shared" si="7"/>
        <v>0</v>
      </c>
      <c r="I12" s="116">
        <f t="shared" si="7"/>
        <v>0</v>
      </c>
      <c r="J12" s="116">
        <f t="shared" si="7"/>
        <v>0</v>
      </c>
      <c r="K12" s="116"/>
      <c r="L12" s="116"/>
      <c r="M12" s="116"/>
      <c r="N12" s="116"/>
      <c r="O12" s="116"/>
      <c r="P12" s="116"/>
      <c r="Q12" s="118"/>
      <c r="R12" s="118"/>
      <c r="S12" s="118"/>
      <c r="U12" s="97">
        <v>45505</v>
      </c>
      <c r="V12" s="60"/>
      <c r="W12" s="60"/>
      <c r="X12" s="60"/>
      <c r="Y12" s="60"/>
      <c r="Z12" s="60"/>
      <c r="AA12" s="60"/>
      <c r="AB12" s="60"/>
      <c r="AC12" s="60">
        <v>728790</v>
      </c>
      <c r="AD12" s="60">
        <v>11960178</v>
      </c>
      <c r="AE12" s="60">
        <v>29390042</v>
      </c>
      <c r="AF12" s="60">
        <v>0</v>
      </c>
      <c r="AG12" s="60">
        <v>0</v>
      </c>
      <c r="AH12" s="60">
        <v>0</v>
      </c>
      <c r="AI12" s="60">
        <v>0</v>
      </c>
      <c r="AJ12" s="96">
        <v>0</v>
      </c>
      <c r="AK12" s="94">
        <v>0</v>
      </c>
      <c r="AL12" s="94">
        <v>0</v>
      </c>
      <c r="AM12" s="94">
        <v>0</v>
      </c>
    </row>
    <row r="13" spans="1:39" x14ac:dyDescent="0.3">
      <c r="A13" s="23">
        <v>45536</v>
      </c>
      <c r="B13" s="116">
        <v>0</v>
      </c>
      <c r="C13" s="116">
        <f>AE13</f>
        <v>22214203</v>
      </c>
      <c r="D13" s="116">
        <f>AF13</f>
        <v>24428300</v>
      </c>
      <c r="E13" s="116">
        <f t="shared" ref="E13:I13" si="8">AG13</f>
        <v>0</v>
      </c>
      <c r="F13" s="116">
        <f t="shared" si="8"/>
        <v>0</v>
      </c>
      <c r="G13" s="116">
        <f t="shared" si="8"/>
        <v>0</v>
      </c>
      <c r="H13" s="116">
        <f t="shared" si="8"/>
        <v>0</v>
      </c>
      <c r="I13" s="116">
        <f t="shared" si="8"/>
        <v>0</v>
      </c>
      <c r="J13" s="116"/>
      <c r="K13" s="116"/>
      <c r="L13" s="116"/>
      <c r="M13" s="116"/>
      <c r="N13" s="116"/>
      <c r="O13" s="116"/>
      <c r="P13" s="116"/>
      <c r="Q13" s="118"/>
      <c r="R13" s="118"/>
      <c r="S13" s="118"/>
      <c r="U13" s="97">
        <v>45536</v>
      </c>
      <c r="V13" s="60"/>
      <c r="W13" s="60"/>
      <c r="X13" s="60"/>
      <c r="Y13" s="60"/>
      <c r="Z13" s="60"/>
      <c r="AA13" s="60"/>
      <c r="AB13" s="60"/>
      <c r="AC13" s="60"/>
      <c r="AD13" s="60"/>
      <c r="AE13" s="60">
        <v>22214203</v>
      </c>
      <c r="AF13" s="60">
        <v>24428300</v>
      </c>
      <c r="AG13" s="60">
        <v>0</v>
      </c>
      <c r="AH13" s="60">
        <v>0</v>
      </c>
      <c r="AI13" s="60">
        <v>0</v>
      </c>
      <c r="AJ13" s="96">
        <v>0</v>
      </c>
      <c r="AK13" s="94">
        <v>0</v>
      </c>
      <c r="AL13" s="94">
        <v>0</v>
      </c>
      <c r="AM13" s="94">
        <v>0</v>
      </c>
    </row>
    <row r="14" spans="1:39" x14ac:dyDescent="0.3">
      <c r="A14" s="24">
        <v>45566</v>
      </c>
      <c r="B14" s="116">
        <f>AE14</f>
        <v>3647000</v>
      </c>
      <c r="C14" s="116">
        <f>AF14</f>
        <v>19419733</v>
      </c>
      <c r="D14" s="116">
        <f>AG14</f>
        <v>8417325</v>
      </c>
      <c r="E14" s="116">
        <f t="shared" ref="E14:H14" si="9">AH14</f>
        <v>0</v>
      </c>
      <c r="F14" s="116">
        <f t="shared" si="9"/>
        <v>0</v>
      </c>
      <c r="G14" s="116">
        <f t="shared" si="9"/>
        <v>82089722</v>
      </c>
      <c r="H14" s="116">
        <f t="shared" si="9"/>
        <v>0</v>
      </c>
      <c r="I14" s="116"/>
      <c r="J14" s="116"/>
      <c r="K14" s="116"/>
      <c r="L14" s="116"/>
      <c r="M14" s="116"/>
      <c r="N14" s="116"/>
      <c r="O14" s="116"/>
      <c r="P14" s="116"/>
      <c r="Q14" s="118"/>
      <c r="R14" s="118"/>
      <c r="S14" s="118"/>
      <c r="U14" s="97">
        <v>45566</v>
      </c>
      <c r="V14" s="60"/>
      <c r="W14" s="60"/>
      <c r="X14" s="60"/>
      <c r="Y14" s="60"/>
      <c r="Z14" s="60"/>
      <c r="AA14" s="60"/>
      <c r="AB14" s="60"/>
      <c r="AC14" s="60"/>
      <c r="AD14" s="60"/>
      <c r="AE14" s="60">
        <v>3647000</v>
      </c>
      <c r="AF14" s="60">
        <v>19419733</v>
      </c>
      <c r="AG14" s="60">
        <v>8417325</v>
      </c>
      <c r="AH14" s="60">
        <v>0</v>
      </c>
      <c r="AI14" s="60">
        <v>0</v>
      </c>
      <c r="AJ14" s="60">
        <v>82089722</v>
      </c>
      <c r="AK14" s="94">
        <v>0</v>
      </c>
      <c r="AL14" s="94">
        <v>0</v>
      </c>
      <c r="AM14" s="94">
        <v>0</v>
      </c>
    </row>
    <row r="15" spans="1:39" x14ac:dyDescent="0.3">
      <c r="A15" s="24">
        <v>45597</v>
      </c>
      <c r="B15" s="116">
        <f t="shared" ref="B15:H15" si="10">AF15</f>
        <v>148200</v>
      </c>
      <c r="C15" s="116">
        <f t="shared" si="10"/>
        <v>0</v>
      </c>
      <c r="D15" s="116">
        <f t="shared" si="10"/>
        <v>15450530</v>
      </c>
      <c r="E15" s="116">
        <f t="shared" si="10"/>
        <v>101423278</v>
      </c>
      <c r="F15" s="116">
        <f t="shared" si="10"/>
        <v>3399750</v>
      </c>
      <c r="G15" s="116">
        <f t="shared" si="10"/>
        <v>0</v>
      </c>
      <c r="H15" s="116">
        <f t="shared" si="10"/>
        <v>35280392</v>
      </c>
      <c r="I15" s="116"/>
      <c r="J15" s="116"/>
      <c r="K15" s="116"/>
      <c r="L15" s="116"/>
      <c r="M15" s="116"/>
      <c r="N15" s="116"/>
      <c r="O15" s="116"/>
      <c r="P15" s="116"/>
      <c r="Q15" s="118"/>
      <c r="R15" s="118"/>
      <c r="S15" s="118"/>
      <c r="U15" s="97">
        <v>45597</v>
      </c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>
        <v>148200</v>
      </c>
      <c r="AG15" s="60"/>
      <c r="AH15" s="60">
        <v>15450530</v>
      </c>
      <c r="AI15" s="60">
        <v>101423278</v>
      </c>
      <c r="AJ15" s="60">
        <v>3399750</v>
      </c>
      <c r="AK15" s="94">
        <v>0</v>
      </c>
      <c r="AL15" s="56">
        <v>35280392</v>
      </c>
      <c r="AM15" s="94">
        <v>0</v>
      </c>
    </row>
    <row r="16" spans="1:39" x14ac:dyDescent="0.3">
      <c r="A16" s="24">
        <v>45627</v>
      </c>
      <c r="B16" s="116">
        <v>0</v>
      </c>
      <c r="C16" s="116">
        <f>AH16</f>
        <v>18033926</v>
      </c>
      <c r="D16" s="116">
        <f>AI16</f>
        <v>9200000</v>
      </c>
      <c r="E16" s="116">
        <f t="shared" ref="E16:G16" si="11">AJ16</f>
        <v>0</v>
      </c>
      <c r="F16" s="116">
        <f t="shared" si="11"/>
        <v>0</v>
      </c>
      <c r="G16" s="116">
        <f t="shared" si="11"/>
        <v>0</v>
      </c>
      <c r="H16" s="116"/>
      <c r="I16" s="116"/>
      <c r="J16" s="116"/>
      <c r="K16" s="116"/>
      <c r="L16" s="116"/>
      <c r="M16" s="116"/>
      <c r="N16" s="116"/>
      <c r="O16" s="116"/>
      <c r="P16" s="116"/>
      <c r="Q16" s="118"/>
      <c r="R16" s="118"/>
      <c r="S16" s="118"/>
      <c r="U16" s="97">
        <v>45627</v>
      </c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>
        <v>18033926</v>
      </c>
      <c r="AI16" s="60">
        <v>9200000</v>
      </c>
      <c r="AJ16" s="60">
        <v>0</v>
      </c>
      <c r="AK16" s="94">
        <v>0</v>
      </c>
      <c r="AL16" s="94">
        <v>0</v>
      </c>
      <c r="AM16" s="94">
        <v>0</v>
      </c>
    </row>
    <row r="17" spans="1:39" x14ac:dyDescent="0.3">
      <c r="A17" s="25">
        <v>45658</v>
      </c>
      <c r="B17" s="116">
        <f>AH17</f>
        <v>3232650</v>
      </c>
      <c r="C17" s="116">
        <f>AI17</f>
        <v>11256457</v>
      </c>
      <c r="D17" s="116">
        <f>AJ17</f>
        <v>12244835</v>
      </c>
      <c r="E17" s="116">
        <f>AK17</f>
        <v>0</v>
      </c>
      <c r="F17" s="116">
        <f>AL17</f>
        <v>0</v>
      </c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8"/>
      <c r="R17" s="118"/>
      <c r="S17" s="118"/>
      <c r="U17" s="97">
        <v>45658</v>
      </c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>
        <v>3232650</v>
      </c>
      <c r="AI17" s="60">
        <v>11256457</v>
      </c>
      <c r="AJ17" s="60">
        <v>12244835</v>
      </c>
      <c r="AK17" s="94">
        <v>0</v>
      </c>
      <c r="AL17" s="94">
        <v>0</v>
      </c>
      <c r="AM17" s="94">
        <v>0</v>
      </c>
    </row>
    <row r="18" spans="1:39" x14ac:dyDescent="0.3">
      <c r="A18" s="25">
        <v>45689</v>
      </c>
      <c r="B18" s="116">
        <f>AI18</f>
        <v>21564532</v>
      </c>
      <c r="C18" s="116">
        <f>AJ18</f>
        <v>5514575</v>
      </c>
      <c r="D18" s="116">
        <f>AK18</f>
        <v>0</v>
      </c>
      <c r="E18" s="116">
        <f>AL18</f>
        <v>0</v>
      </c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8"/>
      <c r="R18" s="118"/>
      <c r="S18" s="118"/>
      <c r="U18" s="97">
        <v>45689</v>
      </c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59"/>
      <c r="AI18" s="59">
        <v>21564532</v>
      </c>
      <c r="AJ18" s="59">
        <v>5514575</v>
      </c>
      <c r="AK18" s="94">
        <v>0</v>
      </c>
      <c r="AL18" s="94">
        <v>0</v>
      </c>
      <c r="AM18" s="94">
        <v>0</v>
      </c>
    </row>
    <row r="19" spans="1:39" x14ac:dyDescent="0.3">
      <c r="A19" s="25">
        <v>45717</v>
      </c>
      <c r="B19" s="116">
        <f>AJ19</f>
        <v>7341225</v>
      </c>
      <c r="C19" s="116">
        <f t="shared" ref="C19:D19" si="12">AK19</f>
        <v>0</v>
      </c>
      <c r="D19" s="116">
        <f t="shared" si="12"/>
        <v>28267915</v>
      </c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8"/>
      <c r="R19" s="118"/>
      <c r="S19" s="118"/>
      <c r="U19" s="97">
        <v>45717</v>
      </c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59"/>
      <c r="AI19" s="59"/>
      <c r="AJ19" s="59">
        <v>7341225</v>
      </c>
      <c r="AK19" s="94">
        <v>0</v>
      </c>
      <c r="AL19" s="56">
        <v>28267915</v>
      </c>
      <c r="AM19" s="94">
        <v>0</v>
      </c>
    </row>
    <row r="20" spans="1:39" x14ac:dyDescent="0.3">
      <c r="A20" s="24">
        <v>45748</v>
      </c>
      <c r="B20" s="116">
        <f>AK20</f>
        <v>0</v>
      </c>
      <c r="C20" s="116">
        <f t="shared" ref="C20:D20" si="13">AL20</f>
        <v>42950003</v>
      </c>
      <c r="D20" s="116">
        <f t="shared" si="13"/>
        <v>0</v>
      </c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8"/>
      <c r="R20" s="118"/>
      <c r="S20" s="118"/>
      <c r="U20" s="97">
        <v>45748</v>
      </c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59"/>
      <c r="AI20" s="59"/>
      <c r="AJ20" s="59"/>
      <c r="AK20" s="94">
        <v>0</v>
      </c>
      <c r="AL20" s="56">
        <v>42950003</v>
      </c>
      <c r="AM20" s="94">
        <v>0</v>
      </c>
    </row>
    <row r="21" spans="1:39" x14ac:dyDescent="0.3">
      <c r="A21" s="24">
        <v>45778</v>
      </c>
      <c r="B21" s="117">
        <f>AL21</f>
        <v>0</v>
      </c>
      <c r="C21" s="117">
        <f>AM21</f>
        <v>0</v>
      </c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8"/>
      <c r="R21" s="118"/>
      <c r="S21" s="118"/>
      <c r="U21" s="97">
        <v>45778</v>
      </c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59"/>
      <c r="AI21" s="59"/>
      <c r="AJ21" s="59"/>
      <c r="AK21" s="56"/>
      <c r="AL21" s="99">
        <v>0</v>
      </c>
      <c r="AM21" s="94">
        <v>0</v>
      </c>
    </row>
    <row r="22" spans="1:39" x14ac:dyDescent="0.3">
      <c r="A22" s="24">
        <v>45809</v>
      </c>
      <c r="B22" s="117">
        <f>AM22</f>
        <v>0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8"/>
      <c r="R22" s="118"/>
      <c r="S22" s="118"/>
      <c r="U22" s="97">
        <v>45809</v>
      </c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56"/>
      <c r="AL22" s="56"/>
      <c r="AM22" s="94">
        <v>0</v>
      </c>
    </row>
    <row r="24" spans="1:39" x14ac:dyDescent="0.3">
      <c r="A24" s="42" t="s">
        <v>21</v>
      </c>
    </row>
    <row r="25" spans="1:39" x14ac:dyDescent="0.3">
      <c r="A25" s="123" t="s">
        <v>19</v>
      </c>
      <c r="B25" s="140" t="s">
        <v>20</v>
      </c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</row>
    <row r="26" spans="1:39" x14ac:dyDescent="0.3">
      <c r="A26" s="124"/>
      <c r="B26" s="41">
        <v>0</v>
      </c>
      <c r="C26" s="41">
        <v>1</v>
      </c>
      <c r="D26" s="41">
        <v>2</v>
      </c>
      <c r="E26" s="41">
        <v>3</v>
      </c>
      <c r="F26" s="41">
        <v>4</v>
      </c>
      <c r="G26" s="41">
        <v>5</v>
      </c>
      <c r="H26" s="41">
        <v>6</v>
      </c>
      <c r="I26" s="41">
        <v>7</v>
      </c>
      <c r="J26" s="41">
        <v>8</v>
      </c>
      <c r="K26" s="41">
        <v>9</v>
      </c>
      <c r="L26" s="41">
        <v>10</v>
      </c>
      <c r="M26" s="41">
        <v>11</v>
      </c>
      <c r="N26" s="41">
        <v>12</v>
      </c>
      <c r="O26" s="41">
        <v>13</v>
      </c>
      <c r="P26" s="41">
        <v>14</v>
      </c>
      <c r="Q26" s="41">
        <v>15</v>
      </c>
      <c r="R26" s="41">
        <v>16</v>
      </c>
      <c r="S26" s="41">
        <v>17</v>
      </c>
    </row>
    <row r="27" spans="1:39" x14ac:dyDescent="0.3">
      <c r="A27" s="23">
        <v>45292</v>
      </c>
      <c r="B27" s="114">
        <f t="shared" ref="B27:B40" si="14">SUM(B5)</f>
        <v>5000000</v>
      </c>
      <c r="C27" s="114">
        <f>SUM($B$5:C5)</f>
        <v>12137616</v>
      </c>
      <c r="D27" s="114">
        <f>SUM($B$5:D5)</f>
        <v>12137616</v>
      </c>
      <c r="E27" s="114">
        <f>SUM($B$5:E5)</f>
        <v>12137616</v>
      </c>
      <c r="F27" s="114">
        <f>SUM($B$5:F5)</f>
        <v>12137616</v>
      </c>
      <c r="G27" s="114">
        <f>SUM($B$5:G5)</f>
        <v>12137616</v>
      </c>
      <c r="H27" s="114">
        <f>SUM($B$5:H5)</f>
        <v>134637616</v>
      </c>
      <c r="I27" s="114">
        <f>SUM($B$5:I5)</f>
        <v>134637616</v>
      </c>
      <c r="J27" s="114">
        <f>SUM($B$5:J5)</f>
        <v>134637616</v>
      </c>
      <c r="K27" s="114">
        <f>SUM($B$5:K5)</f>
        <v>134637616</v>
      </c>
      <c r="L27" s="114">
        <f>SUM($B$5:L5)</f>
        <v>134637616</v>
      </c>
      <c r="M27" s="114">
        <f>SUM($B$5:M5)</f>
        <v>134637616</v>
      </c>
      <c r="N27" s="114">
        <f>SUM($B$5:N5)</f>
        <v>134637616</v>
      </c>
      <c r="O27" s="114">
        <f>SUM($B$5:O5)</f>
        <v>134637616</v>
      </c>
      <c r="P27" s="114">
        <f>SUM($B$5:P5)</f>
        <v>134637616</v>
      </c>
      <c r="Q27" s="114">
        <f>SUM($B$5:Q5)</f>
        <v>134637616</v>
      </c>
      <c r="R27" s="114">
        <f>SUM($B$5:R5)</f>
        <v>134637616</v>
      </c>
      <c r="S27" s="114">
        <f>SUM($B$5:S5)</f>
        <v>134637616</v>
      </c>
    </row>
    <row r="28" spans="1:39" x14ac:dyDescent="0.3">
      <c r="A28" s="23">
        <v>45323</v>
      </c>
      <c r="B28" s="114">
        <f t="shared" si="14"/>
        <v>42950003</v>
      </c>
      <c r="C28" s="114">
        <f>SUM($B$6:C6)</f>
        <v>43484173</v>
      </c>
      <c r="D28" s="114">
        <f>SUM($B$6:D6)</f>
        <v>53412691</v>
      </c>
      <c r="E28" s="114">
        <f>SUM($B$6:E6)</f>
        <v>54593266</v>
      </c>
      <c r="F28" s="114">
        <f>SUM($B$6:F6)</f>
        <v>54593266</v>
      </c>
      <c r="G28" s="114">
        <f>SUM($B$6:G6)</f>
        <v>54593266</v>
      </c>
      <c r="H28" s="114">
        <f>SUM($B$6:H6)</f>
        <v>54593266</v>
      </c>
      <c r="I28" s="114">
        <f>SUM($B$6:I6)</f>
        <v>54593266</v>
      </c>
      <c r="J28" s="114">
        <f>SUM($B$6:J6)</f>
        <v>54593266</v>
      </c>
      <c r="K28" s="114">
        <f>SUM($B$6:K6)</f>
        <v>54593266</v>
      </c>
      <c r="L28" s="114">
        <f>SUM($B$6:L6)</f>
        <v>54593266</v>
      </c>
      <c r="M28" s="114">
        <f>SUM($B$6:M6)</f>
        <v>54593266</v>
      </c>
      <c r="N28" s="114">
        <f>SUM($B$6:N6)</f>
        <v>54593266</v>
      </c>
      <c r="O28" s="114">
        <f>SUM($B$6:O6)</f>
        <v>54593266</v>
      </c>
      <c r="P28" s="114">
        <f>SUM($B$6:P6)</f>
        <v>54593266</v>
      </c>
      <c r="Q28" s="114">
        <f>SUM($B$6:Q6)</f>
        <v>54593266</v>
      </c>
      <c r="R28" s="114">
        <f>SUM($B$6:R6)</f>
        <v>54593266</v>
      </c>
      <c r="S28" s="119">
        <f>R28*V46</f>
        <v>54593266</v>
      </c>
    </row>
    <row r="29" spans="1:39" x14ac:dyDescent="0.3">
      <c r="A29" s="23">
        <v>45352</v>
      </c>
      <c r="B29" s="114">
        <f t="shared" si="14"/>
        <v>0</v>
      </c>
      <c r="C29" s="114">
        <f>SUM($B$7:C7)</f>
        <v>13331739</v>
      </c>
      <c r="D29" s="114">
        <f>SUM($B$7:D7)</f>
        <v>19578779</v>
      </c>
      <c r="E29" s="114">
        <f>SUM($B$7:E7)</f>
        <v>19578779</v>
      </c>
      <c r="F29" s="114">
        <f>SUM($B$7:F7)</f>
        <v>19578779</v>
      </c>
      <c r="G29" s="114">
        <f>SUM($B$7:G7)</f>
        <v>19578779</v>
      </c>
      <c r="H29" s="114">
        <f>SUM($B$7:H7)</f>
        <v>19578779</v>
      </c>
      <c r="I29" s="114">
        <f>SUM($B$7:I7)</f>
        <v>19578779</v>
      </c>
      <c r="J29" s="114">
        <f>SUM($B$7:J7)</f>
        <v>19578779</v>
      </c>
      <c r="K29" s="114">
        <f>SUM($B$7:K7)</f>
        <v>19578779</v>
      </c>
      <c r="L29" s="114">
        <f>SUM($B$7:L7)</f>
        <v>19578779</v>
      </c>
      <c r="M29" s="114">
        <f>SUM($B$7:M7)</f>
        <v>19578779</v>
      </c>
      <c r="N29" s="114">
        <f>SUM($B$7:N7)</f>
        <v>19578779</v>
      </c>
      <c r="O29" s="114">
        <f>SUM($B$7:O7)</f>
        <v>19578779</v>
      </c>
      <c r="P29" s="114">
        <f>SUM($B$7:P7)</f>
        <v>19578779</v>
      </c>
      <c r="Q29" s="114">
        <f>SUM($B$7:Q7)</f>
        <v>19578779</v>
      </c>
      <c r="R29" s="119">
        <f>Q29*U46</f>
        <v>19578779</v>
      </c>
      <c r="S29" s="119">
        <f>R29*V46</f>
        <v>19578779</v>
      </c>
    </row>
    <row r="30" spans="1:39" x14ac:dyDescent="0.3">
      <c r="A30" s="24">
        <v>45383</v>
      </c>
      <c r="B30" s="114">
        <f t="shared" si="14"/>
        <v>6700000</v>
      </c>
      <c r="C30" s="114">
        <f>SUM($B$8:C8)</f>
        <v>22297640</v>
      </c>
      <c r="D30" s="114">
        <f>SUM($B$8:D8)</f>
        <v>32486859</v>
      </c>
      <c r="E30" s="114">
        <f>SUM($B$8:E8)</f>
        <v>32486859</v>
      </c>
      <c r="F30" s="114">
        <f>SUM($B$8:F8)</f>
        <v>32486859</v>
      </c>
      <c r="G30" s="114">
        <f>SUM($B$8:G8)</f>
        <v>32486859</v>
      </c>
      <c r="H30" s="114">
        <f>SUM($B$8:H8)</f>
        <v>32486859</v>
      </c>
      <c r="I30" s="114">
        <f>SUM($B$8:I8)</f>
        <v>32486859</v>
      </c>
      <c r="J30" s="114">
        <f>SUM($B$8:J8)</f>
        <v>32486859</v>
      </c>
      <c r="K30" s="114">
        <f>SUM($B$8:K8)</f>
        <v>32486859</v>
      </c>
      <c r="L30" s="114">
        <f>SUM($B$8:L8)</f>
        <v>32486859</v>
      </c>
      <c r="M30" s="114">
        <f>SUM($B$8:M8)</f>
        <v>32486859</v>
      </c>
      <c r="N30" s="114">
        <f>SUM($B$8:N8)</f>
        <v>32486859</v>
      </c>
      <c r="O30" s="114">
        <f>SUM($B$8:O8)</f>
        <v>32486859</v>
      </c>
      <c r="P30" s="114">
        <f>SUM($B$8:P8)</f>
        <v>32486859</v>
      </c>
      <c r="Q30" s="119">
        <f>P30*T46</f>
        <v>32486859</v>
      </c>
      <c r="R30" s="119">
        <f t="shared" ref="R30:S30" si="15">Q30*U46</f>
        <v>32486859</v>
      </c>
      <c r="S30" s="119">
        <f t="shared" si="15"/>
        <v>32486859</v>
      </c>
    </row>
    <row r="31" spans="1:39" x14ac:dyDescent="0.3">
      <c r="A31" s="24">
        <v>45413</v>
      </c>
      <c r="B31" s="114">
        <f t="shared" si="14"/>
        <v>0</v>
      </c>
      <c r="C31" s="114">
        <f>SUM($B$9:C9)</f>
        <v>1873260</v>
      </c>
      <c r="D31" s="114">
        <f>SUM($B$9:D9)</f>
        <v>37542289</v>
      </c>
      <c r="E31" s="114">
        <f>SUM($B$9:E9)</f>
        <v>37542289</v>
      </c>
      <c r="F31" s="114">
        <f>SUM($B$9:F9)</f>
        <v>37542289</v>
      </c>
      <c r="G31" s="114">
        <f>SUM($B$9:G9)</f>
        <v>37542289</v>
      </c>
      <c r="H31" s="114">
        <f>SUM($B$9:H9)</f>
        <v>37542289</v>
      </c>
      <c r="I31" s="114">
        <f>SUM($B$9:I9)</f>
        <v>37542289</v>
      </c>
      <c r="J31" s="114">
        <f>SUM($B$9:J9)</f>
        <v>40792289</v>
      </c>
      <c r="K31" s="114">
        <f>SUM($B$9:K9)</f>
        <v>40792289</v>
      </c>
      <c r="L31" s="114">
        <f>SUM($B$9:L9)</f>
        <v>40792289</v>
      </c>
      <c r="M31" s="114">
        <f>SUM($B$9:M9)</f>
        <v>40792289</v>
      </c>
      <c r="N31" s="114">
        <f>SUM($B$9:N9)</f>
        <v>40792289</v>
      </c>
      <c r="O31" s="114">
        <f>SUM($B$9:O9)</f>
        <v>40792289</v>
      </c>
      <c r="P31" s="120">
        <f>O31*S46</f>
        <v>40792289</v>
      </c>
      <c r="Q31" s="120">
        <f t="shared" ref="Q31:S31" si="16">P31*T46</f>
        <v>40792289</v>
      </c>
      <c r="R31" s="120">
        <f t="shared" si="16"/>
        <v>40792289</v>
      </c>
      <c r="S31" s="120">
        <f t="shared" si="16"/>
        <v>40792289</v>
      </c>
    </row>
    <row r="32" spans="1:39" x14ac:dyDescent="0.3">
      <c r="A32" s="24">
        <v>45444</v>
      </c>
      <c r="B32" s="114">
        <f t="shared" si="14"/>
        <v>0</v>
      </c>
      <c r="C32" s="114">
        <f>SUM($B$10:C10)</f>
        <v>4500000</v>
      </c>
      <c r="D32" s="114">
        <f>SUM($B$10:D10)</f>
        <v>15959108</v>
      </c>
      <c r="E32" s="114">
        <f>SUM($B$10:E10)</f>
        <v>15959108</v>
      </c>
      <c r="F32" s="114">
        <f>SUM($B$10:F10)</f>
        <v>15959108</v>
      </c>
      <c r="G32" s="114">
        <f>SUM($B$10:G10)</f>
        <v>15959108</v>
      </c>
      <c r="H32" s="114">
        <f>SUM($B$10:H10)</f>
        <v>15959108</v>
      </c>
      <c r="I32" s="114">
        <f>SUM($B$10:I10)</f>
        <v>15959108</v>
      </c>
      <c r="J32" s="114">
        <f>SUM($B$10:J10)</f>
        <v>15959108</v>
      </c>
      <c r="K32" s="114">
        <f>SUM($B$10:K10)</f>
        <v>17822858</v>
      </c>
      <c r="L32" s="114">
        <f>SUM($B$10:L10)</f>
        <v>17822858</v>
      </c>
      <c r="M32" s="114">
        <f>SUM($B$10:M10)</f>
        <v>17822858</v>
      </c>
      <c r="N32" s="114">
        <f>SUM($B$10:N10)</f>
        <v>17822858</v>
      </c>
      <c r="O32" s="120">
        <f>N32*R46</f>
        <v>17822858</v>
      </c>
      <c r="P32" s="120">
        <f t="shared" ref="P32:S32" si="17">O32*S46</f>
        <v>17822858</v>
      </c>
      <c r="Q32" s="120">
        <f t="shared" si="17"/>
        <v>17822858</v>
      </c>
      <c r="R32" s="120">
        <f t="shared" si="17"/>
        <v>17822858</v>
      </c>
      <c r="S32" s="120">
        <f t="shared" si="17"/>
        <v>17822858</v>
      </c>
    </row>
    <row r="33" spans="1:23" x14ac:dyDescent="0.3">
      <c r="A33" s="23">
        <v>45474</v>
      </c>
      <c r="B33" s="114">
        <f t="shared" si="14"/>
        <v>934638</v>
      </c>
      <c r="C33" s="114">
        <f>SUM($B$11:C11)</f>
        <v>18394838</v>
      </c>
      <c r="D33" s="114">
        <f>SUM($B$11:D11)</f>
        <v>55675945</v>
      </c>
      <c r="E33" s="114">
        <f>SUM($B$11:E11)</f>
        <v>55675945</v>
      </c>
      <c r="F33" s="114">
        <f>SUM($B$11:F11)</f>
        <v>55675945</v>
      </c>
      <c r="G33" s="114">
        <f>SUM($B$11:G11)</f>
        <v>55675945</v>
      </c>
      <c r="H33" s="114">
        <f>SUM($B$11:H11)</f>
        <v>55675945</v>
      </c>
      <c r="I33" s="114">
        <f>SUM($B$11:I11)</f>
        <v>55675945</v>
      </c>
      <c r="J33" s="114">
        <f>SUM($B$11:J11)</f>
        <v>55675945</v>
      </c>
      <c r="K33" s="114">
        <f>SUM($B$11:K11)</f>
        <v>55675945</v>
      </c>
      <c r="L33" s="114">
        <f>SUM($B$11:L11)</f>
        <v>55675945</v>
      </c>
      <c r="M33" s="114">
        <f>SUM($B$11:M11)</f>
        <v>55675945</v>
      </c>
      <c r="N33" s="120">
        <f>M33*Q46</f>
        <v>55675945</v>
      </c>
      <c r="O33" s="120">
        <f t="shared" ref="O33:S33" si="18">N33*R46</f>
        <v>55675945</v>
      </c>
      <c r="P33" s="120">
        <f t="shared" si="18"/>
        <v>55675945</v>
      </c>
      <c r="Q33" s="120">
        <f t="shared" si="18"/>
        <v>55675945</v>
      </c>
      <c r="R33" s="120">
        <f t="shared" si="18"/>
        <v>55675945</v>
      </c>
      <c r="S33" s="120">
        <f t="shared" si="18"/>
        <v>55675945</v>
      </c>
    </row>
    <row r="34" spans="1:23" x14ac:dyDescent="0.3">
      <c r="A34" s="23">
        <v>45505</v>
      </c>
      <c r="B34" s="114">
        <f t="shared" si="14"/>
        <v>728790</v>
      </c>
      <c r="C34" s="114">
        <f>SUM($B$12:C12)</f>
        <v>12688968</v>
      </c>
      <c r="D34" s="114">
        <f>SUM($B$12:D12)</f>
        <v>42079010</v>
      </c>
      <c r="E34" s="114">
        <f>SUM($B$12:E12)</f>
        <v>42079010</v>
      </c>
      <c r="F34" s="114">
        <f>SUM($B$12:F12)</f>
        <v>42079010</v>
      </c>
      <c r="G34" s="114">
        <f>SUM($B$12:G12)</f>
        <v>42079010</v>
      </c>
      <c r="H34" s="114">
        <f>SUM($B$12:H12)</f>
        <v>42079010</v>
      </c>
      <c r="I34" s="114">
        <f>SUM($B$12:I12)</f>
        <v>42079010</v>
      </c>
      <c r="J34" s="114">
        <f>SUM($B$12:J12)</f>
        <v>42079010</v>
      </c>
      <c r="K34" s="114">
        <f>SUM($B$12:K12)</f>
        <v>42079010</v>
      </c>
      <c r="L34" s="114">
        <f>SUM($B$12:L12)</f>
        <v>42079010</v>
      </c>
      <c r="M34" s="120">
        <f>L34*P46</f>
        <v>42079010</v>
      </c>
      <c r="N34" s="120">
        <f t="shared" ref="N34:S34" si="19">M34*Q46</f>
        <v>42079010</v>
      </c>
      <c r="O34" s="120">
        <f t="shared" si="19"/>
        <v>42079010</v>
      </c>
      <c r="P34" s="120">
        <f t="shared" si="19"/>
        <v>42079010</v>
      </c>
      <c r="Q34" s="120">
        <f t="shared" si="19"/>
        <v>42079010</v>
      </c>
      <c r="R34" s="120">
        <f t="shared" si="19"/>
        <v>42079010</v>
      </c>
      <c r="S34" s="120">
        <f t="shared" si="19"/>
        <v>42079010</v>
      </c>
    </row>
    <row r="35" spans="1:23" x14ac:dyDescent="0.3">
      <c r="A35" s="23">
        <v>45536</v>
      </c>
      <c r="B35" s="114">
        <f t="shared" si="14"/>
        <v>0</v>
      </c>
      <c r="C35" s="114">
        <f>SUM($B$13:C13)</f>
        <v>22214203</v>
      </c>
      <c r="D35" s="114">
        <f>SUM($B$13:D13)</f>
        <v>46642503</v>
      </c>
      <c r="E35" s="114">
        <f>SUM($B$13:E13)</f>
        <v>46642503</v>
      </c>
      <c r="F35" s="114">
        <f>SUM($B$13:F13)</f>
        <v>46642503</v>
      </c>
      <c r="G35" s="114">
        <f>SUM($B$13:G13)</f>
        <v>46642503</v>
      </c>
      <c r="H35" s="114">
        <f>SUM($B$13:H13)</f>
        <v>46642503</v>
      </c>
      <c r="I35" s="114">
        <f>SUM($B$13:I13)</f>
        <v>46642503</v>
      </c>
      <c r="J35" s="114">
        <f>SUM($B$13:J13)</f>
        <v>46642503</v>
      </c>
      <c r="K35" s="114">
        <f>SUM($B$13:K13)</f>
        <v>46642503</v>
      </c>
      <c r="L35" s="120">
        <f>K35*O46</f>
        <v>46642503</v>
      </c>
      <c r="M35" s="120">
        <f t="shared" ref="M35:S35" si="20">L35*P46</f>
        <v>46642503</v>
      </c>
      <c r="N35" s="120">
        <f t="shared" si="20"/>
        <v>46642503</v>
      </c>
      <c r="O35" s="120">
        <f t="shared" si="20"/>
        <v>46642503</v>
      </c>
      <c r="P35" s="120">
        <f t="shared" si="20"/>
        <v>46642503</v>
      </c>
      <c r="Q35" s="120">
        <f t="shared" si="20"/>
        <v>46642503</v>
      </c>
      <c r="R35" s="120">
        <f t="shared" si="20"/>
        <v>46642503</v>
      </c>
      <c r="S35" s="120">
        <f t="shared" si="20"/>
        <v>46642503</v>
      </c>
    </row>
    <row r="36" spans="1:23" x14ac:dyDescent="0.3">
      <c r="A36" s="24">
        <v>45566</v>
      </c>
      <c r="B36" s="114">
        <f t="shared" si="14"/>
        <v>3647000</v>
      </c>
      <c r="C36" s="114">
        <f>SUM($B$14:C14)</f>
        <v>23066733</v>
      </c>
      <c r="D36" s="114">
        <f>SUM($B$14:D14)</f>
        <v>31484058</v>
      </c>
      <c r="E36" s="114">
        <f>SUM($B$14:E14)</f>
        <v>31484058</v>
      </c>
      <c r="F36" s="114">
        <f>SUM($B$14:F14)</f>
        <v>31484058</v>
      </c>
      <c r="G36" s="114">
        <f>SUM($B$14:G14)</f>
        <v>113573780</v>
      </c>
      <c r="H36" s="114">
        <f>SUM($B$14:H14)</f>
        <v>113573780</v>
      </c>
      <c r="I36" s="114">
        <f>SUM($B$14:I14)</f>
        <v>113573780</v>
      </c>
      <c r="J36" s="114">
        <f>SUM($B$14:J14)</f>
        <v>113573780</v>
      </c>
      <c r="K36" s="120">
        <f>J36*N46</f>
        <v>114052196.4202756</v>
      </c>
      <c r="L36" s="120">
        <f t="shared" ref="L36:S36" si="21">K36*O46</f>
        <v>114052196.4202756</v>
      </c>
      <c r="M36" s="120">
        <f t="shared" si="21"/>
        <v>114052196.4202756</v>
      </c>
      <c r="N36" s="120">
        <f t="shared" si="21"/>
        <v>114052196.4202756</v>
      </c>
      <c r="O36" s="120">
        <f t="shared" si="21"/>
        <v>114052196.4202756</v>
      </c>
      <c r="P36" s="120">
        <f t="shared" si="21"/>
        <v>114052196.4202756</v>
      </c>
      <c r="Q36" s="120">
        <f t="shared" si="21"/>
        <v>114052196.4202756</v>
      </c>
      <c r="R36" s="120">
        <f t="shared" si="21"/>
        <v>114052196.4202756</v>
      </c>
      <c r="S36" s="120">
        <f t="shared" si="21"/>
        <v>114052196.4202756</v>
      </c>
    </row>
    <row r="37" spans="1:23" x14ac:dyDescent="0.3">
      <c r="A37" s="24">
        <v>45597</v>
      </c>
      <c r="B37" s="114">
        <f t="shared" si="14"/>
        <v>148200</v>
      </c>
      <c r="C37" s="114">
        <f>SUM($B$15:C15)</f>
        <v>148200</v>
      </c>
      <c r="D37" s="114">
        <f>SUM($B$15:D15)</f>
        <v>15598730</v>
      </c>
      <c r="E37" s="114">
        <f>SUM($B$15:E15)</f>
        <v>117022008</v>
      </c>
      <c r="F37" s="114">
        <f>SUM($B$15:F15)</f>
        <v>120421758</v>
      </c>
      <c r="G37" s="114">
        <f>SUM($B$15:G15)</f>
        <v>120421758</v>
      </c>
      <c r="H37" s="114">
        <f>SUM($B$15:H15)</f>
        <v>155702150</v>
      </c>
      <c r="I37" s="114">
        <f>SUM($B$15:I15)</f>
        <v>155702150</v>
      </c>
      <c r="J37" s="120">
        <f>I37*M46</f>
        <v>156617599.03134111</v>
      </c>
      <c r="K37" s="120">
        <f t="shared" ref="K37:S37" si="22">J37*N46</f>
        <v>157277332.56385833</v>
      </c>
      <c r="L37" s="120">
        <f t="shared" si="22"/>
        <v>157277332.56385833</v>
      </c>
      <c r="M37" s="120">
        <f t="shared" si="22"/>
        <v>157277332.56385833</v>
      </c>
      <c r="N37" s="120">
        <f t="shared" si="22"/>
        <v>157277332.56385833</v>
      </c>
      <c r="O37" s="120">
        <f t="shared" si="22"/>
        <v>157277332.56385833</v>
      </c>
      <c r="P37" s="120">
        <f t="shared" si="22"/>
        <v>157277332.56385833</v>
      </c>
      <c r="Q37" s="120">
        <f t="shared" si="22"/>
        <v>157277332.56385833</v>
      </c>
      <c r="R37" s="120">
        <f t="shared" si="22"/>
        <v>157277332.56385833</v>
      </c>
      <c r="S37" s="120">
        <f t="shared" si="22"/>
        <v>157277332.56385833</v>
      </c>
    </row>
    <row r="38" spans="1:23" x14ac:dyDescent="0.3">
      <c r="A38" s="24">
        <v>45627</v>
      </c>
      <c r="B38" s="114">
        <f t="shared" si="14"/>
        <v>0</v>
      </c>
      <c r="C38" s="114">
        <f>SUM($B$16:C16)</f>
        <v>18033926</v>
      </c>
      <c r="D38" s="114">
        <f>SUM($B$16:D16)</f>
        <v>27233926</v>
      </c>
      <c r="E38" s="114">
        <f>SUM($B$16:E16)</f>
        <v>27233926</v>
      </c>
      <c r="F38" s="114">
        <f>SUM($B$16:F16)</f>
        <v>27233926</v>
      </c>
      <c r="G38" s="114">
        <f>SUM($B$16:G16)</f>
        <v>27233926</v>
      </c>
      <c r="H38" s="114">
        <f>SUM($B$16:H16)</f>
        <v>27233926</v>
      </c>
      <c r="I38" s="120">
        <f>H38*L46</f>
        <v>27233926</v>
      </c>
      <c r="J38" s="120">
        <f t="shared" ref="J38:S38" si="23">I38*M46</f>
        <v>27394047.560147472</v>
      </c>
      <c r="K38" s="120">
        <f t="shared" si="23"/>
        <v>27509441.819021177</v>
      </c>
      <c r="L38" s="120">
        <f t="shared" si="23"/>
        <v>27509441.819021177</v>
      </c>
      <c r="M38" s="120">
        <f t="shared" si="23"/>
        <v>27509441.819021177</v>
      </c>
      <c r="N38" s="120">
        <f t="shared" si="23"/>
        <v>27509441.819021177</v>
      </c>
      <c r="O38" s="120">
        <f t="shared" si="23"/>
        <v>27509441.819021177</v>
      </c>
      <c r="P38" s="120">
        <f t="shared" si="23"/>
        <v>27509441.819021177</v>
      </c>
      <c r="Q38" s="120">
        <f t="shared" si="23"/>
        <v>27509441.819021177</v>
      </c>
      <c r="R38" s="120">
        <f t="shared" si="23"/>
        <v>27509441.819021177</v>
      </c>
      <c r="S38" s="120">
        <f t="shared" si="23"/>
        <v>27509441.819021177</v>
      </c>
    </row>
    <row r="39" spans="1:23" x14ac:dyDescent="0.3">
      <c r="A39" s="25">
        <v>45658</v>
      </c>
      <c r="B39" s="114">
        <f t="shared" si="14"/>
        <v>3232650</v>
      </c>
      <c r="C39" s="114">
        <f>SUM($B$17:C17)</f>
        <v>14489107</v>
      </c>
      <c r="D39" s="114">
        <f>SUM($B$17:D17)</f>
        <v>26733942</v>
      </c>
      <c r="E39" s="114">
        <f>SUM($B$17:E17)</f>
        <v>26733942</v>
      </c>
      <c r="F39" s="114">
        <f>SUM($B$17:F17)</f>
        <v>26733942</v>
      </c>
      <c r="G39" s="114">
        <f>SUM($B$17:G17)</f>
        <v>26733942</v>
      </c>
      <c r="H39" s="120">
        <f>G39*K46</f>
        <v>34032627.856389128</v>
      </c>
      <c r="I39" s="120">
        <f t="shared" ref="I39:S39" si="24">H39*L46</f>
        <v>34032627.856389128</v>
      </c>
      <c r="J39" s="120">
        <f t="shared" si="24"/>
        <v>34232722.307269372</v>
      </c>
      <c r="K39" s="120">
        <f t="shared" si="24"/>
        <v>34376923.693034045</v>
      </c>
      <c r="L39" s="120">
        <f t="shared" si="24"/>
        <v>34376923.693034045</v>
      </c>
      <c r="M39" s="120">
        <f t="shared" si="24"/>
        <v>34376923.693034045</v>
      </c>
      <c r="N39" s="120">
        <f t="shared" si="24"/>
        <v>34376923.693034045</v>
      </c>
      <c r="O39" s="120">
        <f t="shared" si="24"/>
        <v>34376923.693034045</v>
      </c>
      <c r="P39" s="120">
        <f t="shared" si="24"/>
        <v>34376923.693034045</v>
      </c>
      <c r="Q39" s="120">
        <f t="shared" si="24"/>
        <v>34376923.693034045</v>
      </c>
      <c r="R39" s="120">
        <f t="shared" si="24"/>
        <v>34376923.693034045</v>
      </c>
      <c r="S39" s="120">
        <f t="shared" si="24"/>
        <v>34376923.693034045</v>
      </c>
    </row>
    <row r="40" spans="1:23" x14ac:dyDescent="0.3">
      <c r="A40" s="25">
        <v>45689</v>
      </c>
      <c r="B40" s="114">
        <f t="shared" si="14"/>
        <v>21564532</v>
      </c>
      <c r="C40" s="114">
        <f>SUM($B$18:C18)</f>
        <v>27079107</v>
      </c>
      <c r="D40" s="114">
        <f>SUM($B$18:D18)</f>
        <v>27079107</v>
      </c>
      <c r="E40" s="114">
        <f>SUM($B$18:E18)</f>
        <v>27079107</v>
      </c>
      <c r="F40" s="114">
        <f>SUM($B$18:F18)</f>
        <v>27079107</v>
      </c>
      <c r="G40" s="120">
        <f>F40*J46</f>
        <v>31332930.15954962</v>
      </c>
      <c r="H40" s="120">
        <f t="shared" ref="H40:S40" si="25">G40*K46</f>
        <v>39887194.779213011</v>
      </c>
      <c r="I40" s="120">
        <f t="shared" si="25"/>
        <v>39887194.779213011</v>
      </c>
      <c r="J40" s="120">
        <f t="shared" si="25"/>
        <v>40121711.090153769</v>
      </c>
      <c r="K40" s="120">
        <f t="shared" si="25"/>
        <v>40290719.160459109</v>
      </c>
      <c r="L40" s="120">
        <f t="shared" si="25"/>
        <v>40290719.160459109</v>
      </c>
      <c r="M40" s="120">
        <f t="shared" si="25"/>
        <v>40290719.160459109</v>
      </c>
      <c r="N40" s="120">
        <f t="shared" si="25"/>
        <v>40290719.160459109</v>
      </c>
      <c r="O40" s="120">
        <f t="shared" si="25"/>
        <v>40290719.160459109</v>
      </c>
      <c r="P40" s="120">
        <f t="shared" si="25"/>
        <v>40290719.160459109</v>
      </c>
      <c r="Q40" s="120">
        <f t="shared" si="25"/>
        <v>40290719.160459109</v>
      </c>
      <c r="R40" s="120">
        <f t="shared" si="25"/>
        <v>40290719.160459109</v>
      </c>
      <c r="S40" s="120">
        <f t="shared" si="25"/>
        <v>40290719.160459109</v>
      </c>
    </row>
    <row r="41" spans="1:23" x14ac:dyDescent="0.3">
      <c r="A41" s="25">
        <v>45717</v>
      </c>
      <c r="B41" s="114">
        <f t="shared" ref="B41:B44" si="26">SUM(B19)</f>
        <v>7341225</v>
      </c>
      <c r="C41" s="114">
        <f>SUM($B$19:C19)</f>
        <v>7341225</v>
      </c>
      <c r="D41" s="114">
        <f>SUM($B$19:D19)</f>
        <v>35609140</v>
      </c>
      <c r="E41" s="114">
        <f>SUM($B$19:E19)</f>
        <v>35609140</v>
      </c>
      <c r="F41" s="121">
        <f>E41*I46</f>
        <v>35830764.759301819</v>
      </c>
      <c r="G41" s="121">
        <f t="shared" ref="G41:S41" si="27">F41*J46</f>
        <v>41459374.925711386</v>
      </c>
      <c r="H41" s="121">
        <f t="shared" si="27"/>
        <v>52778280.060802341</v>
      </c>
      <c r="I41" s="121">
        <f t="shared" si="27"/>
        <v>52778280.060802341</v>
      </c>
      <c r="J41" s="121">
        <f t="shared" si="27"/>
        <v>53088589.361974552</v>
      </c>
      <c r="K41" s="121">
        <f t="shared" si="27"/>
        <v>53312218.908160627</v>
      </c>
      <c r="L41" s="121">
        <f t="shared" si="27"/>
        <v>53312218.908160627</v>
      </c>
      <c r="M41" s="121">
        <f t="shared" si="27"/>
        <v>53312218.908160627</v>
      </c>
      <c r="N41" s="121">
        <f t="shared" si="27"/>
        <v>53312218.908160627</v>
      </c>
      <c r="O41" s="121">
        <f t="shared" si="27"/>
        <v>53312218.908160627</v>
      </c>
      <c r="P41" s="121">
        <f t="shared" si="27"/>
        <v>53312218.908160627</v>
      </c>
      <c r="Q41" s="121">
        <f t="shared" si="27"/>
        <v>53312218.908160627</v>
      </c>
      <c r="R41" s="121">
        <f t="shared" si="27"/>
        <v>53312218.908160627</v>
      </c>
      <c r="S41" s="121">
        <f t="shared" si="27"/>
        <v>53312218.908160627</v>
      </c>
    </row>
    <row r="42" spans="1:23" x14ac:dyDescent="0.3">
      <c r="A42" s="24">
        <v>45748</v>
      </c>
      <c r="B42" s="114">
        <f t="shared" si="26"/>
        <v>0</v>
      </c>
      <c r="C42" s="114">
        <f>SUM($B$20:C20)</f>
        <v>42950003</v>
      </c>
      <c r="D42" s="114">
        <f>SUM($B$20:D20)</f>
        <v>42950003</v>
      </c>
      <c r="E42" s="120">
        <f>D42*H46</f>
        <v>52145207.474323191</v>
      </c>
      <c r="F42" s="120">
        <f t="shared" ref="F42:S42" si="28">E42*I46</f>
        <v>52469749.686104782</v>
      </c>
      <c r="G42" s="120">
        <f t="shared" si="28"/>
        <v>60712157.251115106</v>
      </c>
      <c r="H42" s="120">
        <f t="shared" si="28"/>
        <v>77287302.19006899</v>
      </c>
      <c r="I42" s="120">
        <f t="shared" si="28"/>
        <v>77287302.19006899</v>
      </c>
      <c r="J42" s="120">
        <f t="shared" si="28"/>
        <v>77741712.009874731</v>
      </c>
      <c r="K42" s="120">
        <f t="shared" si="28"/>
        <v>78069189.985564724</v>
      </c>
      <c r="L42" s="120">
        <f t="shared" si="28"/>
        <v>78069189.985564724</v>
      </c>
      <c r="M42" s="120">
        <f t="shared" si="28"/>
        <v>78069189.985564724</v>
      </c>
      <c r="N42" s="120">
        <f t="shared" si="28"/>
        <v>78069189.985564724</v>
      </c>
      <c r="O42" s="120">
        <f t="shared" si="28"/>
        <v>78069189.985564724</v>
      </c>
      <c r="P42" s="120">
        <f t="shared" si="28"/>
        <v>78069189.985564724</v>
      </c>
      <c r="Q42" s="120">
        <f t="shared" si="28"/>
        <v>78069189.985564724</v>
      </c>
      <c r="R42" s="120">
        <f t="shared" si="28"/>
        <v>78069189.985564724</v>
      </c>
      <c r="S42" s="120">
        <f t="shared" si="28"/>
        <v>78069189.985564724</v>
      </c>
    </row>
    <row r="43" spans="1:23" x14ac:dyDescent="0.3">
      <c r="A43" s="24">
        <v>45778</v>
      </c>
      <c r="B43" s="114">
        <f t="shared" si="26"/>
        <v>0</v>
      </c>
      <c r="C43" s="114">
        <f>SUM(B21:C21)</f>
        <v>0</v>
      </c>
      <c r="D43" s="120">
        <f>C43*G46</f>
        <v>0</v>
      </c>
      <c r="E43" s="120">
        <f t="shared" ref="E43:S43" si="29">D43*H46</f>
        <v>0</v>
      </c>
      <c r="F43" s="120">
        <f t="shared" si="29"/>
        <v>0</v>
      </c>
      <c r="G43" s="120">
        <f t="shared" si="29"/>
        <v>0</v>
      </c>
      <c r="H43" s="120">
        <f t="shared" si="29"/>
        <v>0</v>
      </c>
      <c r="I43" s="120">
        <f t="shared" si="29"/>
        <v>0</v>
      </c>
      <c r="J43" s="120">
        <f t="shared" si="29"/>
        <v>0</v>
      </c>
      <c r="K43" s="120">
        <f t="shared" si="29"/>
        <v>0</v>
      </c>
      <c r="L43" s="120">
        <f t="shared" si="29"/>
        <v>0</v>
      </c>
      <c r="M43" s="120">
        <f t="shared" si="29"/>
        <v>0</v>
      </c>
      <c r="N43" s="120">
        <f t="shared" si="29"/>
        <v>0</v>
      </c>
      <c r="O43" s="120">
        <f t="shared" si="29"/>
        <v>0</v>
      </c>
      <c r="P43" s="120">
        <f t="shared" si="29"/>
        <v>0</v>
      </c>
      <c r="Q43" s="120">
        <f t="shared" si="29"/>
        <v>0</v>
      </c>
      <c r="R43" s="120">
        <f t="shared" si="29"/>
        <v>0</v>
      </c>
      <c r="S43" s="120">
        <f t="shared" si="29"/>
        <v>0</v>
      </c>
    </row>
    <row r="44" spans="1:23" x14ac:dyDescent="0.3">
      <c r="A44" s="24">
        <v>45809</v>
      </c>
      <c r="B44" s="114">
        <f t="shared" si="26"/>
        <v>0</v>
      </c>
      <c r="C44" s="120">
        <f>B44*F46</f>
        <v>0</v>
      </c>
      <c r="D44" s="120">
        <f t="shared" ref="D44:S44" si="30">C44*G46</f>
        <v>0</v>
      </c>
      <c r="E44" s="120">
        <f t="shared" si="30"/>
        <v>0</v>
      </c>
      <c r="F44" s="120">
        <f t="shared" si="30"/>
        <v>0</v>
      </c>
      <c r="G44" s="120">
        <f t="shared" si="30"/>
        <v>0</v>
      </c>
      <c r="H44" s="120">
        <f t="shared" si="30"/>
        <v>0</v>
      </c>
      <c r="I44" s="120">
        <f t="shared" si="30"/>
        <v>0</v>
      </c>
      <c r="J44" s="120">
        <f t="shared" si="30"/>
        <v>0</v>
      </c>
      <c r="K44" s="120">
        <f t="shared" si="30"/>
        <v>0</v>
      </c>
      <c r="L44" s="120">
        <f t="shared" si="30"/>
        <v>0</v>
      </c>
      <c r="M44" s="120">
        <f t="shared" si="30"/>
        <v>0</v>
      </c>
      <c r="N44" s="120">
        <f t="shared" si="30"/>
        <v>0</v>
      </c>
      <c r="O44" s="120">
        <f t="shared" si="30"/>
        <v>0</v>
      </c>
      <c r="P44" s="120">
        <f t="shared" si="30"/>
        <v>0</v>
      </c>
      <c r="Q44" s="120">
        <f t="shared" si="30"/>
        <v>0</v>
      </c>
      <c r="R44" s="120">
        <f t="shared" si="30"/>
        <v>0</v>
      </c>
      <c r="S44" s="120">
        <f t="shared" si="30"/>
        <v>0</v>
      </c>
    </row>
    <row r="46" spans="1:23" s="45" customFormat="1" ht="28" x14ac:dyDescent="0.35">
      <c r="A46" s="43"/>
      <c r="B46" s="44" t="s">
        <v>22</v>
      </c>
      <c r="C46" s="44" t="s">
        <v>23</v>
      </c>
      <c r="E46" s="44" t="s">
        <v>22</v>
      </c>
      <c r="F46" s="51">
        <f>B47</f>
        <v>3.0790228516605596</v>
      </c>
      <c r="G46" s="51">
        <f>B48</f>
        <v>1.8385464533771694</v>
      </c>
      <c r="H46" s="51">
        <f>B49</f>
        <v>1.2140908924808036</v>
      </c>
      <c r="I46" s="51">
        <f>B50</f>
        <v>1.0062238166746464</v>
      </c>
      <c r="J46" s="51">
        <f>B51</f>
        <v>1.1570887533163343</v>
      </c>
      <c r="K46" s="51">
        <f>B52</f>
        <v>1.2730119582210933</v>
      </c>
      <c r="L46" s="53">
        <f>B53</f>
        <v>1</v>
      </c>
      <c r="M46" s="51">
        <f>B54</f>
        <v>1.0058794886990392</v>
      </c>
      <c r="N46" s="53">
        <f>B55</f>
        <v>1.0042123844101658</v>
      </c>
      <c r="O46" s="53">
        <v>1</v>
      </c>
      <c r="P46" s="53">
        <v>1</v>
      </c>
      <c r="Q46" s="53">
        <v>1</v>
      </c>
      <c r="R46" s="53">
        <v>1</v>
      </c>
      <c r="S46" s="53">
        <v>1</v>
      </c>
      <c r="T46" s="55">
        <v>1</v>
      </c>
      <c r="U46" s="53">
        <v>1</v>
      </c>
      <c r="V46" s="64">
        <v>1</v>
      </c>
      <c r="W46" s="64">
        <v>1</v>
      </c>
    </row>
    <row r="47" spans="1:23" x14ac:dyDescent="0.3">
      <c r="A47" s="29" t="s">
        <v>24</v>
      </c>
      <c r="B47" s="110">
        <f>SUM(C27:C43)/SUM(B27:B43)</f>
        <v>3.0790228516605596</v>
      </c>
      <c r="C47" s="108">
        <f>PRODUCT(B47:B64)</f>
        <v>10.289730360235236</v>
      </c>
      <c r="E47" s="50"/>
      <c r="F47" s="52">
        <v>0</v>
      </c>
      <c r="G47" s="52">
        <v>1</v>
      </c>
      <c r="H47" s="52">
        <v>2</v>
      </c>
      <c r="I47" s="52">
        <v>3</v>
      </c>
      <c r="J47" s="52">
        <v>4</v>
      </c>
      <c r="K47" s="52">
        <v>5</v>
      </c>
      <c r="L47" s="52">
        <v>6</v>
      </c>
      <c r="M47" s="52">
        <v>7</v>
      </c>
      <c r="N47" s="52">
        <v>8</v>
      </c>
      <c r="O47" s="52">
        <v>9</v>
      </c>
      <c r="P47" s="52">
        <v>10</v>
      </c>
      <c r="Q47" s="52">
        <v>11</v>
      </c>
      <c r="R47" s="52">
        <v>12</v>
      </c>
      <c r="S47" s="52">
        <v>13</v>
      </c>
      <c r="T47" s="52">
        <v>14</v>
      </c>
      <c r="U47" s="52">
        <v>15</v>
      </c>
      <c r="V47" s="52">
        <v>16</v>
      </c>
      <c r="W47" s="52">
        <v>17</v>
      </c>
    </row>
    <row r="48" spans="1:23" x14ac:dyDescent="0.3">
      <c r="A48" s="31" t="s">
        <v>25</v>
      </c>
      <c r="B48" s="110">
        <f>SUM(D27:D42)/SUM(C27:C42)</f>
        <v>1.8385464533771694</v>
      </c>
      <c r="C48" s="108">
        <f>PRODUCT(B48:B64)</f>
        <v>3.3418817774235885</v>
      </c>
      <c r="E48" s="50"/>
    </row>
    <row r="49" spans="1:6" x14ac:dyDescent="0.3">
      <c r="A49" s="31" t="s">
        <v>26</v>
      </c>
      <c r="B49" s="110">
        <f>SUM(E27:E41)/SUM(D27:D41)</f>
        <v>1.2140908924808036</v>
      </c>
      <c r="C49" s="108">
        <f>PRODUCT(B49:B64)</f>
        <v>1.8176760077424141</v>
      </c>
      <c r="E49" s="50"/>
    </row>
    <row r="50" spans="1:6" x14ac:dyDescent="0.3">
      <c r="A50" s="32" t="s">
        <v>27</v>
      </c>
      <c r="B50" s="111">
        <f>SUM(F27:F40)/SUM(E27:E40)</f>
        <v>1.0062238166746464</v>
      </c>
      <c r="C50" s="108">
        <f>PRODUCT(B50:B64)</f>
        <v>1.4971498583835676</v>
      </c>
      <c r="E50" s="50"/>
    </row>
    <row r="51" spans="1:6" x14ac:dyDescent="0.3">
      <c r="A51" s="32" t="s">
        <v>28</v>
      </c>
      <c r="B51" s="111">
        <f>SUM(G27:G39)/SUM(F27:F39)</f>
        <v>1.1570887533163343</v>
      </c>
      <c r="C51" s="108">
        <f>PRODUCT(B51:B64)</f>
        <v>1.4878895068607363</v>
      </c>
      <c r="E51" s="50"/>
    </row>
    <row r="52" spans="1:6" x14ac:dyDescent="0.3">
      <c r="A52" s="32" t="s">
        <v>29</v>
      </c>
      <c r="B52" s="111">
        <f>SUM(H27:H38)/SUM(G27:G38)</f>
        <v>1.2730119582210933</v>
      </c>
      <c r="C52" s="108">
        <f>PRODUCT(B52:B64)</f>
        <v>1.2858905616326262</v>
      </c>
      <c r="E52" s="50"/>
    </row>
    <row r="53" spans="1:6" x14ac:dyDescent="0.3">
      <c r="A53" s="32" t="s">
        <v>30</v>
      </c>
      <c r="B53" s="111">
        <f>SUM(I27:I37)/SUM(H27:H37)</f>
        <v>1</v>
      </c>
      <c r="C53" s="108">
        <f>PRODUCT(B53:B64)</f>
        <v>1.0101166397757406</v>
      </c>
      <c r="E53" s="50"/>
    </row>
    <row r="54" spans="1:6" x14ac:dyDescent="0.3">
      <c r="A54" s="32" t="s">
        <v>31</v>
      </c>
      <c r="B54" s="111">
        <f>SUM(J27:J36)/SUM(I27:I36)</f>
        <v>1.0058794886990392</v>
      </c>
      <c r="C54" s="108">
        <f>PRODUCT(B54:B64)</f>
        <v>1.0101166397757406</v>
      </c>
      <c r="E54" s="50"/>
    </row>
    <row r="55" spans="1:6" x14ac:dyDescent="0.3">
      <c r="A55" s="32" t="s">
        <v>32</v>
      </c>
      <c r="B55" s="111">
        <f>SUM(K27:K35)/SUM(J27:J35)</f>
        <v>1.0042123844101658</v>
      </c>
      <c r="C55" s="108">
        <f>PRODUCT(B55:B64)</f>
        <v>1.0042123844101658</v>
      </c>
      <c r="E55" s="50"/>
    </row>
    <row r="56" spans="1:6" x14ac:dyDescent="0.3">
      <c r="A56" s="32" t="s">
        <v>33</v>
      </c>
      <c r="B56" s="111">
        <f>SUM(L27:L34)/SUM(K27:K34)</f>
        <v>1</v>
      </c>
      <c r="C56" s="108">
        <f>PRODUCT(B56:B64)</f>
        <v>1</v>
      </c>
      <c r="E56" s="50"/>
    </row>
    <row r="57" spans="1:6" x14ac:dyDescent="0.3">
      <c r="A57" s="32" t="s">
        <v>34</v>
      </c>
      <c r="B57" s="111">
        <f>SUM(M27:M33)/SUM(L27:L33)</f>
        <v>1</v>
      </c>
      <c r="C57" s="108">
        <f>PRODUCT(B57:B64)</f>
        <v>1</v>
      </c>
      <c r="E57" s="50"/>
      <c r="F57" s="21" t="s">
        <v>14</v>
      </c>
    </row>
    <row r="58" spans="1:6" x14ac:dyDescent="0.3">
      <c r="A58" s="32" t="s">
        <v>35</v>
      </c>
      <c r="B58" s="111">
        <f>SUM(N27:N32)/SUM(M27:M32)</f>
        <v>1</v>
      </c>
      <c r="C58" s="108">
        <f>PRODUCT(B58:B64)</f>
        <v>1</v>
      </c>
      <c r="E58" s="50"/>
    </row>
    <row r="59" spans="1:6" x14ac:dyDescent="0.3">
      <c r="A59" s="32" t="s">
        <v>36</v>
      </c>
      <c r="B59" s="111">
        <f>SUM(O27:O31)/SUM(N27:N31)</f>
        <v>1</v>
      </c>
      <c r="C59" s="108">
        <f>PRODUCT(B59:$B64)</f>
        <v>1</v>
      </c>
      <c r="E59" s="50"/>
    </row>
    <row r="60" spans="1:6" x14ac:dyDescent="0.3">
      <c r="A60" s="32" t="s">
        <v>61</v>
      </c>
      <c r="B60" s="111">
        <f>SUM(P27:P30)/SUM(O27:O30)</f>
        <v>1</v>
      </c>
      <c r="C60" s="108">
        <f>PRODUCT(B60:$B65)</f>
        <v>1</v>
      </c>
      <c r="E60" s="50"/>
    </row>
    <row r="61" spans="1:6" x14ac:dyDescent="0.3">
      <c r="A61" s="32" t="s">
        <v>62</v>
      </c>
      <c r="B61" s="111">
        <f>SUM(Q27:Q29)/SUM(P27:P29)</f>
        <v>1</v>
      </c>
      <c r="C61" s="108">
        <f>PRODUCT(B61:$B66)</f>
        <v>1</v>
      </c>
      <c r="E61" s="50"/>
    </row>
    <row r="62" spans="1:6" x14ac:dyDescent="0.3">
      <c r="A62" s="32" t="s">
        <v>64</v>
      </c>
      <c r="B62" s="111">
        <f>SUM(R27:R28)/SUM(Q27:Q28)</f>
        <v>1</v>
      </c>
      <c r="C62" s="108">
        <f>PRODUCT(B62:$B67)</f>
        <v>1</v>
      </c>
      <c r="E62" s="50"/>
    </row>
    <row r="63" spans="1:6" x14ac:dyDescent="0.3">
      <c r="A63" s="32" t="s">
        <v>63</v>
      </c>
      <c r="B63" s="111">
        <f>SUM(S27)/SUM(R27)</f>
        <v>1</v>
      </c>
      <c r="C63" s="108">
        <f>PRODUCT(B63:$B67)</f>
        <v>1</v>
      </c>
      <c r="E63" s="50"/>
    </row>
    <row r="64" spans="1:6" s="61" customFormat="1" x14ac:dyDescent="0.3">
      <c r="A64" s="63" t="s">
        <v>65</v>
      </c>
      <c r="B64" s="112">
        <v>1</v>
      </c>
      <c r="C64" s="109">
        <f>PRODUCT(B64:$B68)</f>
        <v>1</v>
      </c>
      <c r="E64" s="62"/>
    </row>
    <row r="65" spans="1:16" x14ac:dyDescent="0.3">
      <c r="A65" s="34"/>
      <c r="B65" s="35"/>
    </row>
    <row r="66" spans="1:16" ht="14.5" customHeight="1" x14ac:dyDescent="0.3">
      <c r="A66" s="130" t="s">
        <v>72</v>
      </c>
      <c r="B66" s="130"/>
      <c r="C66" s="130"/>
      <c r="D66" s="130"/>
      <c r="E66" s="130"/>
      <c r="F66" s="130"/>
      <c r="G66" s="46"/>
      <c r="H66" s="46"/>
      <c r="I66" s="46"/>
      <c r="J66" s="46"/>
      <c r="K66" s="46"/>
      <c r="L66" s="46"/>
      <c r="M66" s="46"/>
      <c r="N66" s="46"/>
      <c r="O66" s="46"/>
      <c r="P66" s="46"/>
    </row>
    <row r="67" spans="1:16" x14ac:dyDescent="0.3">
      <c r="A67" s="130"/>
      <c r="B67" s="130"/>
      <c r="C67" s="130"/>
      <c r="D67" s="130"/>
      <c r="E67" s="130"/>
      <c r="F67" s="130"/>
      <c r="G67" s="46"/>
      <c r="H67" s="46"/>
      <c r="I67" s="46"/>
      <c r="J67" s="46"/>
      <c r="K67" s="46"/>
      <c r="L67" s="46"/>
      <c r="M67" s="46"/>
      <c r="N67" s="46"/>
      <c r="O67" s="46"/>
      <c r="P67" s="46"/>
    </row>
    <row r="68" spans="1:16" s="45" customFormat="1" ht="28" x14ac:dyDescent="0.35">
      <c r="A68" s="36" t="s">
        <v>38</v>
      </c>
      <c r="B68" s="36" t="s">
        <v>39</v>
      </c>
      <c r="C68" s="36" t="s">
        <v>80</v>
      </c>
      <c r="D68" s="36" t="s">
        <v>40</v>
      </c>
      <c r="E68" s="36" t="s">
        <v>41</v>
      </c>
      <c r="F68" s="68"/>
      <c r="G68" s="68"/>
      <c r="H68" s="68"/>
      <c r="I68" s="71"/>
    </row>
    <row r="69" spans="1:16" x14ac:dyDescent="0.3">
      <c r="A69" s="30">
        <v>1</v>
      </c>
      <c r="B69" s="108">
        <f>C64</f>
        <v>1</v>
      </c>
      <c r="C69" s="108">
        <f>(1/B69)</f>
        <v>1</v>
      </c>
      <c r="D69" s="108">
        <f>1-C69</f>
        <v>0</v>
      </c>
      <c r="E69" s="103">
        <f>D69</f>
        <v>0</v>
      </c>
      <c r="F69" s="27"/>
      <c r="G69" s="69"/>
      <c r="H69" s="70"/>
      <c r="I69" s="71"/>
    </row>
    <row r="70" spans="1:16" x14ac:dyDescent="0.3">
      <c r="A70" s="30">
        <v>2</v>
      </c>
      <c r="B70" s="108">
        <f>C63</f>
        <v>1</v>
      </c>
      <c r="C70" s="108">
        <f t="shared" ref="C70:C86" si="31">(1/B70)</f>
        <v>1</v>
      </c>
      <c r="D70" s="108">
        <f t="shared" ref="D70:D86" si="32">1-C70</f>
        <v>0</v>
      </c>
      <c r="E70" s="104">
        <f t="shared" ref="E70:E86" si="33">D70</f>
        <v>0</v>
      </c>
      <c r="F70" s="27"/>
      <c r="G70" s="69"/>
      <c r="H70" s="70"/>
      <c r="I70" s="71"/>
    </row>
    <row r="71" spans="1:16" x14ac:dyDescent="0.3">
      <c r="A71" s="30">
        <v>3</v>
      </c>
      <c r="B71" s="108">
        <f>C62</f>
        <v>1</v>
      </c>
      <c r="C71" s="108">
        <f t="shared" si="31"/>
        <v>1</v>
      </c>
      <c r="D71" s="108">
        <f t="shared" si="32"/>
        <v>0</v>
      </c>
      <c r="E71" s="104">
        <f t="shared" si="33"/>
        <v>0</v>
      </c>
      <c r="F71" s="27"/>
      <c r="G71" s="69"/>
      <c r="H71" s="70"/>
      <c r="I71" s="71"/>
    </row>
    <row r="72" spans="1:16" x14ac:dyDescent="0.3">
      <c r="A72" s="30">
        <v>4</v>
      </c>
      <c r="B72" s="108">
        <f>C61</f>
        <v>1</v>
      </c>
      <c r="C72" s="108">
        <f t="shared" si="31"/>
        <v>1</v>
      </c>
      <c r="D72" s="108">
        <f t="shared" si="32"/>
        <v>0</v>
      </c>
      <c r="E72" s="104">
        <f t="shared" si="33"/>
        <v>0</v>
      </c>
      <c r="F72" s="87"/>
      <c r="G72" s="69"/>
      <c r="H72" s="70"/>
      <c r="I72" s="71"/>
    </row>
    <row r="73" spans="1:16" x14ac:dyDescent="0.3">
      <c r="A73" s="30">
        <v>5</v>
      </c>
      <c r="B73" s="108">
        <f>C60</f>
        <v>1</v>
      </c>
      <c r="C73" s="108">
        <f t="shared" si="31"/>
        <v>1</v>
      </c>
      <c r="D73" s="108">
        <f t="shared" si="32"/>
        <v>0</v>
      </c>
      <c r="E73" s="104">
        <f t="shared" si="33"/>
        <v>0</v>
      </c>
      <c r="F73" s="27"/>
      <c r="G73" s="69"/>
      <c r="H73" s="70"/>
      <c r="I73" s="71"/>
    </row>
    <row r="74" spans="1:16" x14ac:dyDescent="0.3">
      <c r="A74" s="30">
        <v>6</v>
      </c>
      <c r="B74" s="108">
        <f>C59</f>
        <v>1</v>
      </c>
      <c r="C74" s="108">
        <f t="shared" si="31"/>
        <v>1</v>
      </c>
      <c r="D74" s="108">
        <f t="shared" si="32"/>
        <v>0</v>
      </c>
      <c r="E74" s="104">
        <f t="shared" si="33"/>
        <v>0</v>
      </c>
      <c r="F74" s="27"/>
      <c r="G74" s="69"/>
      <c r="H74" s="70"/>
      <c r="I74" s="71"/>
    </row>
    <row r="75" spans="1:16" x14ac:dyDescent="0.3">
      <c r="A75" s="30">
        <v>7</v>
      </c>
      <c r="B75" s="108">
        <f>C58</f>
        <v>1</v>
      </c>
      <c r="C75" s="108">
        <f t="shared" si="31"/>
        <v>1</v>
      </c>
      <c r="D75" s="108">
        <f t="shared" si="32"/>
        <v>0</v>
      </c>
      <c r="E75" s="104">
        <f t="shared" si="33"/>
        <v>0</v>
      </c>
      <c r="F75" s="27"/>
      <c r="G75" s="69"/>
      <c r="H75" s="70"/>
      <c r="I75" s="71"/>
    </row>
    <row r="76" spans="1:16" x14ac:dyDescent="0.3">
      <c r="A76" s="30">
        <v>8</v>
      </c>
      <c r="B76" s="108">
        <f>C57</f>
        <v>1</v>
      </c>
      <c r="C76" s="108">
        <f t="shared" si="31"/>
        <v>1</v>
      </c>
      <c r="D76" s="108">
        <f t="shared" si="32"/>
        <v>0</v>
      </c>
      <c r="E76" s="104">
        <f t="shared" si="33"/>
        <v>0</v>
      </c>
      <c r="F76" s="27"/>
      <c r="G76" s="69"/>
      <c r="H76" s="70"/>
      <c r="I76" s="71"/>
    </row>
    <row r="77" spans="1:16" x14ac:dyDescent="0.3">
      <c r="A77" s="30">
        <v>9</v>
      </c>
      <c r="B77" s="108">
        <f>C56</f>
        <v>1</v>
      </c>
      <c r="C77" s="108">
        <f t="shared" si="31"/>
        <v>1</v>
      </c>
      <c r="D77" s="108">
        <f t="shared" si="32"/>
        <v>0</v>
      </c>
      <c r="E77" s="104">
        <f t="shared" si="33"/>
        <v>0</v>
      </c>
      <c r="F77" s="27"/>
      <c r="G77" s="69"/>
      <c r="H77" s="70"/>
      <c r="I77" s="71"/>
    </row>
    <row r="78" spans="1:16" x14ac:dyDescent="0.3">
      <c r="A78" s="30">
        <v>10</v>
      </c>
      <c r="B78" s="108">
        <f>C55</f>
        <v>1.0042123844101658</v>
      </c>
      <c r="C78" s="108">
        <f t="shared" si="31"/>
        <v>0.99580528534047108</v>
      </c>
      <c r="D78" s="108">
        <f t="shared" si="32"/>
        <v>4.1947146595289198E-3</v>
      </c>
      <c r="E78" s="104">
        <f t="shared" si="33"/>
        <v>4.1947146595289198E-3</v>
      </c>
      <c r="F78" s="27"/>
      <c r="G78" s="69"/>
      <c r="H78" s="70"/>
      <c r="I78" s="71"/>
    </row>
    <row r="79" spans="1:16" x14ac:dyDescent="0.3">
      <c r="A79" s="30">
        <v>11</v>
      </c>
      <c r="B79" s="108">
        <f>C54</f>
        <v>1.0101166397757406</v>
      </c>
      <c r="C79" s="108">
        <f t="shared" si="31"/>
        <v>0.98998468159282416</v>
      </c>
      <c r="D79" s="108">
        <f t="shared" si="32"/>
        <v>1.0015318407175844E-2</v>
      </c>
      <c r="E79" s="104">
        <f t="shared" si="33"/>
        <v>1.0015318407175844E-2</v>
      </c>
      <c r="F79" s="27"/>
      <c r="G79" s="69"/>
      <c r="H79" s="70"/>
      <c r="I79" s="71"/>
    </row>
    <row r="80" spans="1:16" x14ac:dyDescent="0.3">
      <c r="A80" s="30">
        <v>12</v>
      </c>
      <c r="B80" s="108">
        <f>C53</f>
        <v>1.0101166397757406</v>
      </c>
      <c r="C80" s="108">
        <f t="shared" si="31"/>
        <v>0.98998468159282416</v>
      </c>
      <c r="D80" s="113">
        <f t="shared" si="32"/>
        <v>1.0015318407175844E-2</v>
      </c>
      <c r="E80" s="104">
        <f t="shared" si="33"/>
        <v>1.0015318407175844E-2</v>
      </c>
      <c r="F80" s="102">
        <f>1-(1/B80)</f>
        <v>1.0015318407175844E-2</v>
      </c>
      <c r="G80" s="69"/>
      <c r="H80" s="70"/>
      <c r="I80" s="71"/>
    </row>
    <row r="81" spans="1:10" x14ac:dyDescent="0.3">
      <c r="A81" s="30">
        <v>13</v>
      </c>
      <c r="B81" s="108">
        <f>C52</f>
        <v>1.2858905616326262</v>
      </c>
      <c r="C81" s="108">
        <f t="shared" si="31"/>
        <v>0.7776711563465819</v>
      </c>
      <c r="D81" s="108">
        <f t="shared" si="32"/>
        <v>0.2223288436534181</v>
      </c>
      <c r="E81" s="104">
        <f t="shared" si="33"/>
        <v>0.2223288436534181</v>
      </c>
      <c r="F81" s="27"/>
      <c r="G81" s="69"/>
      <c r="H81" s="70"/>
      <c r="I81" s="71"/>
    </row>
    <row r="82" spans="1:10" x14ac:dyDescent="0.3">
      <c r="A82" s="30">
        <v>14</v>
      </c>
      <c r="B82" s="108">
        <f>C51</f>
        <v>1.4878895068607363</v>
      </c>
      <c r="C82" s="108">
        <f t="shared" si="31"/>
        <v>0.67209291777981339</v>
      </c>
      <c r="D82" s="108">
        <f t="shared" si="32"/>
        <v>0.32790708222018661</v>
      </c>
      <c r="E82" s="104">
        <f t="shared" si="33"/>
        <v>0.32790708222018661</v>
      </c>
      <c r="F82" s="27"/>
      <c r="G82" s="69"/>
      <c r="H82" s="70"/>
      <c r="I82" s="71"/>
    </row>
    <row r="83" spans="1:10" x14ac:dyDescent="0.3">
      <c r="A83" s="30">
        <v>15</v>
      </c>
      <c r="B83" s="108">
        <f>C50</f>
        <v>1.4971498583835676</v>
      </c>
      <c r="C83" s="108">
        <f t="shared" si="31"/>
        <v>0.66793580776187167</v>
      </c>
      <c r="D83" s="108">
        <f t="shared" si="32"/>
        <v>0.33206419223812833</v>
      </c>
      <c r="E83" s="107">
        <f t="shared" si="33"/>
        <v>0.33206419223812833</v>
      </c>
      <c r="F83" s="27"/>
      <c r="G83" s="69"/>
      <c r="H83" s="70"/>
      <c r="I83" s="71"/>
    </row>
    <row r="84" spans="1:10" x14ac:dyDescent="0.3">
      <c r="A84" s="30">
        <v>16</v>
      </c>
      <c r="B84" s="108">
        <f>C49</f>
        <v>1.8176760077424141</v>
      </c>
      <c r="C84" s="108">
        <f t="shared" si="31"/>
        <v>0.5501530502358436</v>
      </c>
      <c r="D84" s="108">
        <f t="shared" si="32"/>
        <v>0.4498469497641564</v>
      </c>
      <c r="E84" s="104">
        <f t="shared" si="33"/>
        <v>0.4498469497641564</v>
      </c>
      <c r="F84" s="27"/>
      <c r="G84" s="69"/>
      <c r="H84" s="70"/>
      <c r="I84" s="71"/>
    </row>
    <row r="85" spans="1:10" x14ac:dyDescent="0.3">
      <c r="A85" s="30">
        <v>17</v>
      </c>
      <c r="B85" s="108">
        <f>C48</f>
        <v>3.3418817774235885</v>
      </c>
      <c r="C85" s="108">
        <f t="shared" si="31"/>
        <v>0.29923260803407187</v>
      </c>
      <c r="D85" s="108">
        <f t="shared" si="32"/>
        <v>0.70076739196592808</v>
      </c>
      <c r="E85" s="104">
        <f t="shared" si="33"/>
        <v>0.70076739196592808</v>
      </c>
      <c r="F85" s="27"/>
      <c r="G85" s="69"/>
      <c r="H85" s="70"/>
      <c r="I85" s="71"/>
    </row>
    <row r="86" spans="1:10" x14ac:dyDescent="0.3">
      <c r="A86" s="30">
        <v>18</v>
      </c>
      <c r="B86" s="108">
        <f>C47</f>
        <v>10.289730360235236</v>
      </c>
      <c r="C86" s="108">
        <f t="shared" si="31"/>
        <v>9.7184276457283059E-2</v>
      </c>
      <c r="D86" s="108">
        <f t="shared" si="32"/>
        <v>0.902815723542717</v>
      </c>
      <c r="E86" s="104">
        <f t="shared" si="33"/>
        <v>0.902815723542717</v>
      </c>
      <c r="F86" s="27"/>
      <c r="G86" s="69"/>
      <c r="H86" s="70"/>
      <c r="I86" s="71"/>
    </row>
    <row r="88" spans="1:10" x14ac:dyDescent="0.3">
      <c r="A88" s="42" t="s">
        <v>42</v>
      </c>
    </row>
    <row r="89" spans="1:10" ht="42" x14ac:dyDescent="0.3">
      <c r="A89" s="36" t="s">
        <v>38</v>
      </c>
      <c r="B89" s="36" t="s">
        <v>78</v>
      </c>
      <c r="C89" s="36" t="s">
        <v>70</v>
      </c>
      <c r="D89" s="36" t="s">
        <v>44</v>
      </c>
      <c r="E89" s="36" t="s">
        <v>45</v>
      </c>
      <c r="F89" s="36" t="s">
        <v>71</v>
      </c>
      <c r="G89" s="86" t="s">
        <v>79</v>
      </c>
      <c r="H89" s="80" t="s">
        <v>68</v>
      </c>
      <c r="I89" s="86" t="s">
        <v>49</v>
      </c>
      <c r="J89" s="80" t="s">
        <v>50</v>
      </c>
    </row>
    <row r="90" spans="1:10" x14ac:dyDescent="0.3">
      <c r="A90" s="30">
        <v>1</v>
      </c>
      <c r="B90" s="38">
        <f>S27</f>
        <v>134637616</v>
      </c>
      <c r="C90" s="38">
        <f>S27</f>
        <v>134637616</v>
      </c>
      <c r="D90" s="39">
        <f t="shared" ref="D90:D101" si="34">B116</f>
        <v>291922566.38</v>
      </c>
      <c r="E90" s="101">
        <f>C90/D90</f>
        <v>0.46121003137777361</v>
      </c>
      <c r="F90" s="39">
        <f>E90*D90</f>
        <v>134637616</v>
      </c>
      <c r="G90" s="39">
        <f>E90*E69*D90</f>
        <v>0</v>
      </c>
      <c r="H90" s="85">
        <f>F90+G90</f>
        <v>134637616</v>
      </c>
      <c r="I90" s="131">
        <f>SUM(G90:G107)</f>
        <v>48277178.178165004</v>
      </c>
      <c r="J90" s="40">
        <f>ABS(C90-H90)/C90</f>
        <v>0</v>
      </c>
    </row>
    <row r="91" spans="1:10" x14ac:dyDescent="0.3">
      <c r="A91" s="30">
        <v>2</v>
      </c>
      <c r="B91" s="38">
        <f t="shared" ref="B91:B107" si="35">S28</f>
        <v>54593266</v>
      </c>
      <c r="C91" s="38">
        <f>R28</f>
        <v>54593266</v>
      </c>
      <c r="D91" s="39">
        <f t="shared" si="34"/>
        <v>184554129</v>
      </c>
      <c r="E91" s="37">
        <f>C91/D91</f>
        <v>0.29581167485014653</v>
      </c>
      <c r="F91" s="39">
        <f t="shared" ref="F91:F107" si="36">E91*D91</f>
        <v>54593266</v>
      </c>
      <c r="G91" s="39">
        <f t="shared" ref="G91:G107" si="37">E91*E70*D91</f>
        <v>0</v>
      </c>
      <c r="H91" s="85">
        <f t="shared" ref="H91:H107" si="38">F91+G91</f>
        <v>54593266</v>
      </c>
      <c r="I91" s="132"/>
      <c r="J91" s="40">
        <f t="shared" ref="J91:J105" si="39">ABS(C91-H91)/C91</f>
        <v>0</v>
      </c>
    </row>
    <row r="92" spans="1:10" x14ac:dyDescent="0.3">
      <c r="A92" s="30">
        <v>3</v>
      </c>
      <c r="B92" s="38">
        <f t="shared" si="35"/>
        <v>19578779</v>
      </c>
      <c r="C92" s="38">
        <f>Q29</f>
        <v>19578779</v>
      </c>
      <c r="D92" s="39">
        <f t="shared" si="34"/>
        <v>66362446</v>
      </c>
      <c r="E92" s="37">
        <f t="shared" ref="E92:E107" si="40">C92/D92</f>
        <v>0.29502798917327427</v>
      </c>
      <c r="F92" s="39">
        <f t="shared" si="36"/>
        <v>19578779</v>
      </c>
      <c r="G92" s="39">
        <f t="shared" si="37"/>
        <v>0</v>
      </c>
      <c r="H92" s="85">
        <f t="shared" si="38"/>
        <v>19578779</v>
      </c>
      <c r="I92" s="132"/>
      <c r="J92" s="40">
        <f t="shared" si="39"/>
        <v>0</v>
      </c>
    </row>
    <row r="93" spans="1:10" x14ac:dyDescent="0.3">
      <c r="A93" s="30">
        <v>4</v>
      </c>
      <c r="B93" s="38">
        <f t="shared" si="35"/>
        <v>32486859</v>
      </c>
      <c r="C93" s="38">
        <f>P30</f>
        <v>32486859</v>
      </c>
      <c r="D93" s="39">
        <f t="shared" si="34"/>
        <v>69966160</v>
      </c>
      <c r="E93" s="37">
        <f t="shared" si="40"/>
        <v>0.46432245245415782</v>
      </c>
      <c r="F93" s="39">
        <f t="shared" si="36"/>
        <v>32486859</v>
      </c>
      <c r="G93" s="39">
        <f t="shared" si="37"/>
        <v>0</v>
      </c>
      <c r="H93" s="85">
        <f t="shared" si="38"/>
        <v>32486859</v>
      </c>
      <c r="I93" s="132"/>
      <c r="J93" s="40">
        <f t="shared" si="39"/>
        <v>0</v>
      </c>
    </row>
    <row r="94" spans="1:10" x14ac:dyDescent="0.3">
      <c r="A94" s="30">
        <v>5</v>
      </c>
      <c r="B94" s="38">
        <f t="shared" si="35"/>
        <v>40792289</v>
      </c>
      <c r="C94" s="38">
        <f>O31</f>
        <v>40792289</v>
      </c>
      <c r="D94" s="39">
        <f t="shared" si="34"/>
        <v>69012958</v>
      </c>
      <c r="E94" s="37">
        <f t="shared" si="40"/>
        <v>0.59108159079342748</v>
      </c>
      <c r="F94" s="39">
        <f t="shared" si="36"/>
        <v>40792289</v>
      </c>
      <c r="G94" s="39">
        <f t="shared" si="37"/>
        <v>0</v>
      </c>
      <c r="H94" s="85">
        <f t="shared" si="38"/>
        <v>40792289</v>
      </c>
      <c r="I94" s="132"/>
      <c r="J94" s="40">
        <f t="shared" si="39"/>
        <v>0</v>
      </c>
    </row>
    <row r="95" spans="1:10" x14ac:dyDescent="0.3">
      <c r="A95" s="30">
        <v>6</v>
      </c>
      <c r="B95" s="38">
        <f t="shared" si="35"/>
        <v>17822858</v>
      </c>
      <c r="C95" s="38">
        <f>N32</f>
        <v>17822858</v>
      </c>
      <c r="D95" s="39">
        <f t="shared" si="34"/>
        <v>57359759.609999999</v>
      </c>
      <c r="E95" s="37">
        <f t="shared" si="40"/>
        <v>0.31072058392819335</v>
      </c>
      <c r="F95" s="39">
        <f t="shared" si="36"/>
        <v>17822858</v>
      </c>
      <c r="G95" s="39">
        <f>E95*E74*D95</f>
        <v>0</v>
      </c>
      <c r="H95" s="85">
        <f t="shared" si="38"/>
        <v>17822858</v>
      </c>
      <c r="I95" s="132"/>
      <c r="J95" s="40">
        <f t="shared" si="39"/>
        <v>0</v>
      </c>
    </row>
    <row r="96" spans="1:10" x14ac:dyDescent="0.3">
      <c r="A96" s="30">
        <v>7</v>
      </c>
      <c r="B96" s="38">
        <f t="shared" si="35"/>
        <v>55675945</v>
      </c>
      <c r="C96" s="38">
        <f>M33</f>
        <v>55675945</v>
      </c>
      <c r="D96" s="39">
        <f t="shared" si="34"/>
        <v>156485297</v>
      </c>
      <c r="E96" s="37">
        <f t="shared" si="40"/>
        <v>0.35579026315807805</v>
      </c>
      <c r="F96" s="39">
        <f t="shared" si="36"/>
        <v>55675945</v>
      </c>
      <c r="G96" s="39">
        <f t="shared" si="37"/>
        <v>0</v>
      </c>
      <c r="H96" s="85">
        <f t="shared" si="38"/>
        <v>55675945</v>
      </c>
      <c r="I96" s="132"/>
      <c r="J96" s="40">
        <f t="shared" si="39"/>
        <v>0</v>
      </c>
    </row>
    <row r="97" spans="1:10" x14ac:dyDescent="0.3">
      <c r="A97" s="30">
        <v>8</v>
      </c>
      <c r="B97" s="38">
        <f t="shared" si="35"/>
        <v>42079010</v>
      </c>
      <c r="C97" s="38">
        <f>L34</f>
        <v>42079010</v>
      </c>
      <c r="D97" s="39">
        <f t="shared" si="34"/>
        <v>134354150</v>
      </c>
      <c r="E97" s="37">
        <f t="shared" si="40"/>
        <v>0.31319471709656904</v>
      </c>
      <c r="F97" s="39">
        <f t="shared" si="36"/>
        <v>42079010</v>
      </c>
      <c r="G97" s="39">
        <f t="shared" si="37"/>
        <v>0</v>
      </c>
      <c r="H97" s="85">
        <f t="shared" si="38"/>
        <v>42079010</v>
      </c>
      <c r="I97" s="132"/>
      <c r="J97" s="40">
        <f t="shared" si="39"/>
        <v>0</v>
      </c>
    </row>
    <row r="98" spans="1:10" x14ac:dyDescent="0.3">
      <c r="A98" s="30">
        <v>9</v>
      </c>
      <c r="B98" s="38">
        <f t="shared" si="35"/>
        <v>46642503</v>
      </c>
      <c r="C98" s="38">
        <f>K35</f>
        <v>46642503</v>
      </c>
      <c r="D98" s="39">
        <f t="shared" si="34"/>
        <v>161427863</v>
      </c>
      <c r="E98" s="37">
        <f t="shared" si="40"/>
        <v>0.28893712729134002</v>
      </c>
      <c r="F98" s="39">
        <f t="shared" si="36"/>
        <v>46642503</v>
      </c>
      <c r="G98" s="39">
        <f t="shared" si="37"/>
        <v>0</v>
      </c>
      <c r="H98" s="85">
        <f t="shared" si="38"/>
        <v>46642503</v>
      </c>
      <c r="I98" s="132"/>
      <c r="J98" s="40">
        <f t="shared" si="39"/>
        <v>0</v>
      </c>
    </row>
    <row r="99" spans="1:10" x14ac:dyDescent="0.3">
      <c r="A99" s="30">
        <v>10</v>
      </c>
      <c r="B99" s="38">
        <f t="shared" si="35"/>
        <v>114052196.4202756</v>
      </c>
      <c r="C99" s="38">
        <f>J36</f>
        <v>113573780</v>
      </c>
      <c r="D99" s="39">
        <f t="shared" si="34"/>
        <v>275434406.56</v>
      </c>
      <c r="E99" s="37">
        <f t="shared" si="40"/>
        <v>0.41234419990757165</v>
      </c>
      <c r="F99" s="39">
        <f t="shared" si="36"/>
        <v>113573780</v>
      </c>
      <c r="G99" s="39">
        <f t="shared" si="37"/>
        <v>476409.59990411246</v>
      </c>
      <c r="H99" s="85">
        <f t="shared" si="38"/>
        <v>114050189.59990411</v>
      </c>
      <c r="I99" s="132"/>
      <c r="J99" s="40">
        <f t="shared" si="39"/>
        <v>4.1947146595288547E-3</v>
      </c>
    </row>
    <row r="100" spans="1:10" x14ac:dyDescent="0.3">
      <c r="A100" s="30">
        <v>11</v>
      </c>
      <c r="B100" s="38">
        <f t="shared" si="35"/>
        <v>157277332.56385833</v>
      </c>
      <c r="C100" s="38">
        <f>I37</f>
        <v>155702150</v>
      </c>
      <c r="D100" s="39">
        <f t="shared" si="34"/>
        <v>299304402</v>
      </c>
      <c r="E100" s="37">
        <f t="shared" si="40"/>
        <v>0.52021336458659906</v>
      </c>
      <c r="F100" s="39">
        <f t="shared" si="36"/>
        <v>155702150</v>
      </c>
      <c r="G100" s="39">
        <f t="shared" si="37"/>
        <v>1559406.6089318544</v>
      </c>
      <c r="H100" s="85">
        <f t="shared" si="38"/>
        <v>157261556.60893184</v>
      </c>
      <c r="I100" s="132"/>
      <c r="J100" s="40">
        <f t="shared" si="39"/>
        <v>1.0015318407175748E-2</v>
      </c>
    </row>
    <row r="101" spans="1:10" x14ac:dyDescent="0.3">
      <c r="A101" s="30">
        <v>12</v>
      </c>
      <c r="B101" s="38">
        <f t="shared" si="35"/>
        <v>27509441.819021177</v>
      </c>
      <c r="C101" s="38">
        <f>H38</f>
        <v>27233926</v>
      </c>
      <c r="D101" s="39">
        <f t="shared" si="34"/>
        <v>97290293</v>
      </c>
      <c r="E101" s="37">
        <f t="shared" si="40"/>
        <v>0.27992439081255516</v>
      </c>
      <c r="F101" s="39">
        <f t="shared" si="36"/>
        <v>27233926</v>
      </c>
      <c r="G101" s="39">
        <f t="shared" si="37"/>
        <v>272756.44036746479</v>
      </c>
      <c r="H101" s="85">
        <f>F101+G101</f>
        <v>27506682.440367464</v>
      </c>
      <c r="I101" s="132"/>
      <c r="J101" s="40">
        <f t="shared" si="39"/>
        <v>1.0015318407175814E-2</v>
      </c>
    </row>
    <row r="102" spans="1:10" x14ac:dyDescent="0.3">
      <c r="A102" s="30">
        <v>13</v>
      </c>
      <c r="B102" s="38">
        <f t="shared" si="35"/>
        <v>34376923.693034045</v>
      </c>
      <c r="C102" s="38">
        <f>G39</f>
        <v>26733942</v>
      </c>
      <c r="D102" s="39">
        <f>F116</f>
        <v>101167203.29000001</v>
      </c>
      <c r="E102" s="37">
        <f>C102/D102</f>
        <v>0.26425502663512446</v>
      </c>
      <c r="F102" s="39">
        <f t="shared" si="36"/>
        <v>26733942.000000004</v>
      </c>
      <c r="G102" s="39">
        <f t="shared" si="37"/>
        <v>5943726.4111575484</v>
      </c>
      <c r="H102" s="85">
        <f t="shared" si="38"/>
        <v>32677668.411157552</v>
      </c>
      <c r="I102" s="132"/>
      <c r="J102" s="40">
        <f t="shared" si="39"/>
        <v>0.22232884365341826</v>
      </c>
    </row>
    <row r="103" spans="1:10" x14ac:dyDescent="0.3">
      <c r="A103" s="30">
        <v>14</v>
      </c>
      <c r="B103" s="38">
        <f t="shared" si="35"/>
        <v>40290719.160459109</v>
      </c>
      <c r="C103" s="38">
        <f>F40</f>
        <v>27079107</v>
      </c>
      <c r="D103" s="39">
        <f>F117</f>
        <v>56719742</v>
      </c>
      <c r="E103" s="37">
        <f t="shared" si="40"/>
        <v>0.47741943184438324</v>
      </c>
      <c r="F103" s="39">
        <f t="shared" si="36"/>
        <v>27079107</v>
      </c>
      <c r="G103" s="39">
        <f t="shared" si="37"/>
        <v>8879430.9654982314</v>
      </c>
      <c r="H103" s="85">
        <f t="shared" si="38"/>
        <v>35958537.965498231</v>
      </c>
      <c r="I103" s="132"/>
      <c r="J103" s="40">
        <f t="shared" si="39"/>
        <v>0.32790708222018661</v>
      </c>
    </row>
    <row r="104" spans="1:10" x14ac:dyDescent="0.3">
      <c r="A104" s="30">
        <v>15</v>
      </c>
      <c r="B104" s="38">
        <f t="shared" si="35"/>
        <v>53312218.908160627</v>
      </c>
      <c r="C104" s="38">
        <f>E41</f>
        <v>35609140</v>
      </c>
      <c r="D104" s="105">
        <f t="shared" ref="D104:D106" si="41">F118</f>
        <v>66688263.390000001</v>
      </c>
      <c r="E104" s="106">
        <f t="shared" si="40"/>
        <v>0.53396412186885112</v>
      </c>
      <c r="F104" s="39">
        <f t="shared" si="36"/>
        <v>35609140</v>
      </c>
      <c r="G104" s="39">
        <f>E104*E83*D104</f>
        <v>11824520.310394425</v>
      </c>
      <c r="H104" s="85">
        <f t="shared" si="38"/>
        <v>47433660.310394421</v>
      </c>
      <c r="I104" s="132"/>
      <c r="J104" s="40">
        <f t="shared" si="39"/>
        <v>0.33206419223812822</v>
      </c>
    </row>
    <row r="105" spans="1:10" x14ac:dyDescent="0.3">
      <c r="A105" s="30">
        <v>16</v>
      </c>
      <c r="B105" s="38">
        <f t="shared" si="35"/>
        <v>78069189.985564724</v>
      </c>
      <c r="C105" s="38">
        <f>D42</f>
        <v>42950003</v>
      </c>
      <c r="D105" s="39">
        <f t="shared" si="41"/>
        <v>57962898.5</v>
      </c>
      <c r="E105" s="37">
        <f t="shared" si="40"/>
        <v>0.74099129117913243</v>
      </c>
      <c r="F105" s="39">
        <f t="shared" si="36"/>
        <v>42950003</v>
      </c>
      <c r="G105" s="39">
        <f t="shared" si="37"/>
        <v>19320927.841911364</v>
      </c>
      <c r="H105" s="85">
        <f t="shared" si="38"/>
        <v>62270930.841911361</v>
      </c>
      <c r="I105" s="132"/>
      <c r="J105" s="40">
        <f t="shared" si="39"/>
        <v>0.44984694976415623</v>
      </c>
    </row>
    <row r="106" spans="1:10" x14ac:dyDescent="0.3">
      <c r="A106" s="30">
        <v>17</v>
      </c>
      <c r="B106" s="38">
        <f t="shared" si="35"/>
        <v>0</v>
      </c>
      <c r="C106" s="38">
        <f>S43</f>
        <v>0</v>
      </c>
      <c r="D106" s="39">
        <f t="shared" si="41"/>
        <v>55407937</v>
      </c>
      <c r="E106" s="37">
        <f t="shared" si="40"/>
        <v>0</v>
      </c>
      <c r="F106" s="39">
        <f t="shared" si="36"/>
        <v>0</v>
      </c>
      <c r="G106" s="39">
        <f t="shared" si="37"/>
        <v>0</v>
      </c>
      <c r="H106" s="85">
        <f t="shared" si="38"/>
        <v>0</v>
      </c>
      <c r="I106" s="132"/>
      <c r="J106" s="40">
        <f>IF(C106=0,0,ABS(C106-H106)/C106)</f>
        <v>0</v>
      </c>
    </row>
    <row r="107" spans="1:10" x14ac:dyDescent="0.3">
      <c r="A107" s="30">
        <v>18</v>
      </c>
      <c r="B107" s="38">
        <f t="shared" si="35"/>
        <v>0</v>
      </c>
      <c r="C107" s="38">
        <f>S44</f>
        <v>0</v>
      </c>
      <c r="D107" s="39">
        <f>F121</f>
        <v>78605117.799999997</v>
      </c>
      <c r="E107" s="37">
        <f t="shared" si="40"/>
        <v>0</v>
      </c>
      <c r="F107" s="39">
        <f t="shared" si="36"/>
        <v>0</v>
      </c>
      <c r="G107" s="39">
        <f t="shared" si="37"/>
        <v>0</v>
      </c>
      <c r="H107" s="39">
        <f t="shared" si="38"/>
        <v>0</v>
      </c>
      <c r="I107" s="133"/>
      <c r="J107" s="40">
        <f>IF(C107=0,0,ABS(C107-H107)/C107)</f>
        <v>0</v>
      </c>
    </row>
    <row r="108" spans="1:10" x14ac:dyDescent="0.3">
      <c r="I108" s="100"/>
      <c r="J108" s="81">
        <f>AVERAGE(J90:J107)</f>
        <v>7.535402329720943E-2</v>
      </c>
    </row>
    <row r="109" spans="1:10" x14ac:dyDescent="0.3">
      <c r="A109" s="21" t="s">
        <v>51</v>
      </c>
      <c r="H109" s="27"/>
      <c r="J109" s="27"/>
    </row>
    <row r="110" spans="1:10" x14ac:dyDescent="0.3">
      <c r="A110" s="21" t="s">
        <v>52</v>
      </c>
      <c r="H110" s="27"/>
      <c r="J110" s="27"/>
    </row>
    <row r="111" spans="1:10" x14ac:dyDescent="0.3">
      <c r="A111" s="21" t="s">
        <v>53</v>
      </c>
      <c r="J111" s="27"/>
    </row>
    <row r="114" spans="1:17" x14ac:dyDescent="0.3">
      <c r="H114" s="21" t="s">
        <v>14</v>
      </c>
    </row>
    <row r="115" spans="1:17" x14ac:dyDescent="0.3">
      <c r="A115" s="47" t="s">
        <v>54</v>
      </c>
      <c r="B115" s="134" t="s">
        <v>55</v>
      </c>
      <c r="C115" s="135"/>
      <c r="D115" s="48"/>
      <c r="E115" s="47" t="s">
        <v>1</v>
      </c>
      <c r="F115" s="136" t="s">
        <v>55</v>
      </c>
      <c r="G115" s="136"/>
    </row>
    <row r="116" spans="1:17" x14ac:dyDescent="0.3">
      <c r="A116" s="23">
        <v>45292</v>
      </c>
      <c r="B116" s="128">
        <v>291922566.38</v>
      </c>
      <c r="C116" s="129"/>
      <c r="D116" s="49"/>
      <c r="E116" s="23">
        <v>45658</v>
      </c>
      <c r="F116" s="127">
        <v>101167203.29000001</v>
      </c>
      <c r="G116" s="127"/>
    </row>
    <row r="117" spans="1:17" x14ac:dyDescent="0.3">
      <c r="A117" s="23">
        <v>45323</v>
      </c>
      <c r="B117" s="128">
        <v>184554129</v>
      </c>
      <c r="C117" s="129"/>
      <c r="D117" s="49"/>
      <c r="E117" s="23">
        <v>45689</v>
      </c>
      <c r="F117" s="127">
        <v>56719742</v>
      </c>
      <c r="G117" s="127"/>
    </row>
    <row r="118" spans="1:17" x14ac:dyDescent="0.3">
      <c r="A118" s="23">
        <v>45352</v>
      </c>
      <c r="B118" s="128">
        <v>66362446</v>
      </c>
      <c r="C118" s="129"/>
      <c r="D118" s="49"/>
      <c r="E118" s="23">
        <v>45717</v>
      </c>
      <c r="F118" s="127">
        <v>66688263.390000001</v>
      </c>
      <c r="G118" s="127"/>
    </row>
    <row r="119" spans="1:17" x14ac:dyDescent="0.3">
      <c r="A119" s="24">
        <v>45383</v>
      </c>
      <c r="B119" s="128">
        <v>69966160</v>
      </c>
      <c r="C119" s="129"/>
      <c r="D119" s="49"/>
      <c r="E119" s="24">
        <v>45748</v>
      </c>
      <c r="F119" s="127">
        <v>57962898.5</v>
      </c>
      <c r="G119" s="127"/>
    </row>
    <row r="120" spans="1:17" x14ac:dyDescent="0.3">
      <c r="A120" s="24">
        <v>45413</v>
      </c>
      <c r="B120" s="128">
        <v>69012958</v>
      </c>
      <c r="C120" s="129"/>
      <c r="D120" s="49"/>
      <c r="E120" s="24">
        <v>45778</v>
      </c>
      <c r="F120" s="127">
        <v>55407937</v>
      </c>
      <c r="G120" s="127"/>
    </row>
    <row r="121" spans="1:17" x14ac:dyDescent="0.3">
      <c r="A121" s="24">
        <v>45444</v>
      </c>
      <c r="B121" s="128">
        <v>57359759.609999999</v>
      </c>
      <c r="C121" s="129"/>
      <c r="D121" s="49"/>
      <c r="E121" s="24">
        <v>45809</v>
      </c>
      <c r="F121" s="127">
        <v>78605117.799999997</v>
      </c>
      <c r="G121" s="127"/>
      <c r="I121" s="49"/>
      <c r="J121" s="49"/>
      <c r="K121" s="49"/>
      <c r="L121" s="49"/>
      <c r="M121" s="49"/>
      <c r="N121" s="49"/>
      <c r="O121" s="49"/>
      <c r="P121" s="49"/>
      <c r="Q121" s="49"/>
    </row>
    <row r="122" spans="1:17" x14ac:dyDescent="0.3">
      <c r="A122" s="23">
        <v>45474</v>
      </c>
      <c r="B122" s="128">
        <v>156485297</v>
      </c>
      <c r="C122" s="12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</row>
    <row r="123" spans="1:17" x14ac:dyDescent="0.3">
      <c r="A123" s="23">
        <v>45505</v>
      </c>
      <c r="B123" s="128">
        <v>134354150</v>
      </c>
      <c r="C123" s="12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</row>
    <row r="124" spans="1:17" x14ac:dyDescent="0.3">
      <c r="A124" s="23">
        <v>45536</v>
      </c>
      <c r="B124" s="128">
        <v>161427863</v>
      </c>
      <c r="C124" s="12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</row>
    <row r="125" spans="1:17" x14ac:dyDescent="0.3">
      <c r="A125" s="24">
        <v>45566</v>
      </c>
      <c r="B125" s="128">
        <v>275434406.56</v>
      </c>
      <c r="C125" s="12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</row>
    <row r="126" spans="1:17" x14ac:dyDescent="0.3">
      <c r="A126" s="24">
        <v>45597</v>
      </c>
      <c r="B126" s="128">
        <v>299304402</v>
      </c>
      <c r="C126" s="12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</row>
    <row r="127" spans="1:17" x14ac:dyDescent="0.3">
      <c r="A127" s="24">
        <v>45627</v>
      </c>
      <c r="B127" s="138">
        <v>97290293</v>
      </c>
      <c r="C127" s="13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</row>
    <row r="128" spans="1:17" x14ac:dyDescent="0.3">
      <c r="H128" s="49"/>
    </row>
  </sheetData>
  <mergeCells count="29">
    <mergeCell ref="A1:S1"/>
    <mergeCell ref="B127:C127"/>
    <mergeCell ref="B3:S3"/>
    <mergeCell ref="V3:AM3"/>
    <mergeCell ref="B25:S25"/>
    <mergeCell ref="F119:G119"/>
    <mergeCell ref="F120:G120"/>
    <mergeCell ref="F121:G121"/>
    <mergeCell ref="B121:C121"/>
    <mergeCell ref="B122:C122"/>
    <mergeCell ref="B123:C123"/>
    <mergeCell ref="B124:C124"/>
    <mergeCell ref="B125:C125"/>
    <mergeCell ref="B126:C126"/>
    <mergeCell ref="B117:C117"/>
    <mergeCell ref="F117:G117"/>
    <mergeCell ref="B120:C120"/>
    <mergeCell ref="A66:F67"/>
    <mergeCell ref="I90:I107"/>
    <mergeCell ref="B115:C115"/>
    <mergeCell ref="F115:G115"/>
    <mergeCell ref="B116:C116"/>
    <mergeCell ref="F116:G116"/>
    <mergeCell ref="A3:A4"/>
    <mergeCell ref="U3:U4"/>
    <mergeCell ref="A25:A26"/>
    <mergeCell ref="F118:G118"/>
    <mergeCell ref="B119:C119"/>
    <mergeCell ref="B118:C1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PREMI</vt:lpstr>
      <vt:lpstr>DATA KLAIM</vt:lpstr>
      <vt:lpstr>IBNR TRIWULAN</vt:lpstr>
      <vt:lpstr>IBNR 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amelia</dc:creator>
  <cp:lastModifiedBy>clarisa amelia</cp:lastModifiedBy>
  <dcterms:created xsi:type="dcterms:W3CDTF">2025-09-08T12:59:54Z</dcterms:created>
  <dcterms:modified xsi:type="dcterms:W3CDTF">2026-06-01T19:14:53Z</dcterms:modified>
</cp:coreProperties>
</file>
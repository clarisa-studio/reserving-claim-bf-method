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787540514F6B81/Documents/"/>
    </mc:Choice>
  </mc:AlternateContent>
  <xr:revisionPtr revIDLastSave="27" documentId="8_{520D9F36-A9F1-41CD-8B33-9F05CCD44B78}" xr6:coauthVersionLast="47" xr6:coauthVersionMax="47" xr10:uidLastSave="{C2D6C4C3-335E-40A3-B6D6-43F7018809A3}"/>
  <bookViews>
    <workbookView xWindow="-110" yWindow="-110" windowWidth="19420" windowHeight="10300" xr2:uid="{1565F9ED-1606-44D5-B06F-44BCDA7118EE}"/>
  </bookViews>
  <sheets>
    <sheet name="SESUAI KAK VANI (3)" sheetId="12" r:id="rId1"/>
    <sheet name="DATA" sheetId="11" r:id="rId2"/>
    <sheet name="IBNR FIX" sheetId="10" r:id="rId3"/>
    <sheet name="Sheet1" sheetId="1" r:id="rId4"/>
    <sheet name="PER BULAN" sheetId="7" r:id="rId5"/>
    <sheet name="SESUAI KAK VANI" sheetId="5" r:id="rId6"/>
    <sheet name="SESUAI KAK VANI (2)" sheetId="6" r:id="rId7"/>
  </sheet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3" i="11" l="1"/>
  <c r="C59" i="12"/>
  <c r="C56" i="12"/>
  <c r="C60" i="12" l="1"/>
  <c r="F60" i="12" s="1"/>
  <c r="F59" i="12"/>
  <c r="F58" i="12"/>
  <c r="C58" i="12"/>
  <c r="C57" i="12"/>
  <c r="F57" i="12" s="1"/>
  <c r="G57" i="12" s="1"/>
  <c r="C49" i="12"/>
  <c r="D49" i="12" s="1"/>
  <c r="B49" i="12"/>
  <c r="I15" i="12"/>
  <c r="B34" i="12" s="1"/>
  <c r="B60" i="12" s="1"/>
  <c r="J12" i="12"/>
  <c r="I12" i="12"/>
  <c r="C31" i="12" s="1"/>
  <c r="B59" i="12" s="1"/>
  <c r="K9" i="12"/>
  <c r="J9" i="12"/>
  <c r="I9" i="12"/>
  <c r="L6" i="12"/>
  <c r="J6" i="12"/>
  <c r="I6" i="12"/>
  <c r="C25" i="12" s="1"/>
  <c r="M3" i="12"/>
  <c r="L3" i="12"/>
  <c r="K3" i="12"/>
  <c r="J3" i="12"/>
  <c r="I3" i="12"/>
  <c r="I90" i="7"/>
  <c r="G12" i="10"/>
  <c r="B17" i="10"/>
  <c r="D15" i="10"/>
  <c r="E4" i="10"/>
  <c r="D5" i="10"/>
  <c r="C3" i="10"/>
  <c r="C8" i="10"/>
  <c r="D9" i="10"/>
  <c r="D8" i="10"/>
  <c r="C15" i="10"/>
  <c r="D4" i="7"/>
  <c r="K8" i="10"/>
  <c r="C9" i="10"/>
  <c r="C11" i="10"/>
  <c r="D10" i="10"/>
  <c r="C6" i="10"/>
  <c r="B16" i="10"/>
  <c r="B5" i="10"/>
  <c r="G51" i="11"/>
  <c r="B4" i="10" s="1"/>
  <c r="B23" i="10" s="1"/>
  <c r="K52" i="11"/>
  <c r="I50" i="11"/>
  <c r="H50" i="11"/>
  <c r="C16" i="10"/>
  <c r="B15" i="10"/>
  <c r="D14" i="10"/>
  <c r="C14" i="10"/>
  <c r="F13" i="10"/>
  <c r="E13" i="10"/>
  <c r="D13" i="10"/>
  <c r="C13" i="10"/>
  <c r="B13" i="10"/>
  <c r="D12" i="10"/>
  <c r="C12" i="10"/>
  <c r="B12" i="10"/>
  <c r="D11" i="10"/>
  <c r="C10" i="10"/>
  <c r="B10" i="10"/>
  <c r="B9" i="10"/>
  <c r="D7" i="10"/>
  <c r="C7" i="10"/>
  <c r="D6" i="10"/>
  <c r="B6" i="10"/>
  <c r="C5" i="10"/>
  <c r="D4" i="10"/>
  <c r="C4" i="10"/>
  <c r="B3" i="10"/>
  <c r="T55" i="11"/>
  <c r="T64" i="11"/>
  <c r="T60" i="11"/>
  <c r="T59" i="11"/>
  <c r="T62" i="11"/>
  <c r="S63" i="11"/>
  <c r="S61" i="11"/>
  <c r="S60" i="11"/>
  <c r="S62" i="11"/>
  <c r="R61" i="11"/>
  <c r="R62" i="11"/>
  <c r="R60" i="11"/>
  <c r="D25" i="12" l="1"/>
  <c r="C28" i="12"/>
  <c r="D22" i="12"/>
  <c r="D59" i="12"/>
  <c r="I59" i="12"/>
  <c r="D60" i="12"/>
  <c r="I60" i="12"/>
  <c r="E22" i="12"/>
  <c r="D28" i="12"/>
  <c r="B58" i="12" s="1"/>
  <c r="B22" i="12"/>
  <c r="F22" i="12"/>
  <c r="E25" i="12"/>
  <c r="B57" i="12" s="1"/>
  <c r="B31" i="12"/>
  <c r="C22" i="12"/>
  <c r="B25" i="12"/>
  <c r="B28" i="12"/>
  <c r="D23" i="7"/>
  <c r="E23" i="7"/>
  <c r="F23" i="7"/>
  <c r="G23" i="7"/>
  <c r="H23" i="7"/>
  <c r="I23" i="7"/>
  <c r="J23" i="7"/>
  <c r="K23" i="7"/>
  <c r="L23" i="7"/>
  <c r="M23" i="7"/>
  <c r="N23" i="7"/>
  <c r="O23" i="7"/>
  <c r="C23" i="7"/>
  <c r="F22" i="7"/>
  <c r="G22" i="7"/>
  <c r="H22" i="7"/>
  <c r="I22" i="7"/>
  <c r="J22" i="7"/>
  <c r="K22" i="7"/>
  <c r="L22" i="7"/>
  <c r="M22" i="7"/>
  <c r="N22" i="7"/>
  <c r="O22" i="7"/>
  <c r="P22" i="7"/>
  <c r="D22" i="7"/>
  <c r="E22" i="7"/>
  <c r="C24" i="7"/>
  <c r="C25" i="7"/>
  <c r="C26" i="7"/>
  <c r="C27" i="7"/>
  <c r="C28" i="7"/>
  <c r="C29" i="7"/>
  <c r="C30" i="7"/>
  <c r="C31" i="7"/>
  <c r="C32" i="7"/>
  <c r="C33" i="7"/>
  <c r="C34" i="7"/>
  <c r="C35" i="7"/>
  <c r="C22" i="7"/>
  <c r="B22" i="7"/>
  <c r="B23" i="7"/>
  <c r="B24" i="7"/>
  <c r="D24" i="7"/>
  <c r="E24" i="7" s="1"/>
  <c r="H24" i="7"/>
  <c r="B25" i="7"/>
  <c r="D25" i="7"/>
  <c r="E25" i="7" s="1"/>
  <c r="G25" i="7"/>
  <c r="H25" i="7"/>
  <c r="K25" i="7"/>
  <c r="L25" i="7"/>
  <c r="B26" i="7"/>
  <c r="D26" i="7"/>
  <c r="E26" i="7" s="1"/>
  <c r="G26" i="7"/>
  <c r="H26" i="7"/>
  <c r="K26" i="7"/>
  <c r="L26" i="7"/>
  <c r="B27" i="7"/>
  <c r="D27" i="7"/>
  <c r="E27" i="7" s="1"/>
  <c r="K27" i="7"/>
  <c r="B28" i="7"/>
  <c r="D28" i="7"/>
  <c r="E28" i="7" s="1"/>
  <c r="F28" i="7"/>
  <c r="G28" i="7"/>
  <c r="H28" i="7"/>
  <c r="J28" i="7"/>
  <c r="B29" i="7"/>
  <c r="D29" i="7"/>
  <c r="E29" i="7"/>
  <c r="F29" i="7"/>
  <c r="G29" i="7"/>
  <c r="H29" i="7"/>
  <c r="I29" i="7"/>
  <c r="B30" i="7"/>
  <c r="D30" i="7"/>
  <c r="E30" i="7"/>
  <c r="F30" i="7"/>
  <c r="G30" i="7"/>
  <c r="H30" i="7"/>
  <c r="B31" i="7"/>
  <c r="D31" i="7"/>
  <c r="E31" i="7" s="1"/>
  <c r="F31" i="7"/>
  <c r="G31" i="7"/>
  <c r="B32" i="7"/>
  <c r="D32" i="7"/>
  <c r="E32" i="7"/>
  <c r="F32" i="7"/>
  <c r="B33" i="7"/>
  <c r="D33" i="7"/>
  <c r="E33" i="7" s="1"/>
  <c r="B34" i="7"/>
  <c r="D34" i="7"/>
  <c r="B35" i="7"/>
  <c r="B36" i="7"/>
  <c r="K9" i="5"/>
  <c r="J9" i="5"/>
  <c r="J6" i="5"/>
  <c r="M3" i="5"/>
  <c r="L3" i="5"/>
  <c r="K3" i="5"/>
  <c r="J3" i="5"/>
  <c r="AB16" i="5"/>
  <c r="AC15" i="5"/>
  <c r="AB15" i="5"/>
  <c r="D34" i="10"/>
  <c r="F27" i="10"/>
  <c r="G25" i="10"/>
  <c r="H25" i="10"/>
  <c r="O22" i="10"/>
  <c r="C34" i="10"/>
  <c r="B24" i="10"/>
  <c r="B25" i="10"/>
  <c r="B26" i="10"/>
  <c r="B27" i="10"/>
  <c r="B30" i="10"/>
  <c r="B33" i="10"/>
  <c r="B36" i="10"/>
  <c r="B89" i="10" s="1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B34" i="10"/>
  <c r="C33" i="10"/>
  <c r="D32" i="10"/>
  <c r="C31" i="10"/>
  <c r="D30" i="10"/>
  <c r="I29" i="10"/>
  <c r="E28" i="10"/>
  <c r="D27" i="10"/>
  <c r="F26" i="10"/>
  <c r="F25" i="10"/>
  <c r="G24" i="10"/>
  <c r="D23" i="10"/>
  <c r="D22" i="10"/>
  <c r="D57" i="12" l="1"/>
  <c r="I57" i="12"/>
  <c r="B41" i="12"/>
  <c r="B56" i="12"/>
  <c r="B43" i="12"/>
  <c r="C43" i="12" s="1"/>
  <c r="B48" i="12" s="1"/>
  <c r="C48" i="12" s="1"/>
  <c r="D48" i="12" s="1"/>
  <c r="B40" i="12"/>
  <c r="B39" i="12"/>
  <c r="C39" i="12" s="1"/>
  <c r="B52" i="12" s="1"/>
  <c r="C52" i="12" s="1"/>
  <c r="D52" i="12" s="1"/>
  <c r="G60" i="12" s="1"/>
  <c r="D58" i="12"/>
  <c r="I58" i="12"/>
  <c r="C26" i="10"/>
  <c r="N24" i="10"/>
  <c r="F24" i="10"/>
  <c r="I26" i="10"/>
  <c r="G27" i="10"/>
  <c r="G29" i="10"/>
  <c r="F29" i="10"/>
  <c r="C27" i="10"/>
  <c r="M24" i="10"/>
  <c r="E24" i="10"/>
  <c r="H26" i="10"/>
  <c r="C23" i="10"/>
  <c r="K22" i="10"/>
  <c r="J24" i="10"/>
  <c r="L25" i="10"/>
  <c r="D25" i="10"/>
  <c r="E26" i="10"/>
  <c r="K23" i="10"/>
  <c r="E25" i="10"/>
  <c r="K27" i="10"/>
  <c r="B80" i="10" s="1"/>
  <c r="G30" i="10"/>
  <c r="D31" i="10"/>
  <c r="C24" i="10"/>
  <c r="C30" i="10"/>
  <c r="G22" i="10"/>
  <c r="I24" i="10"/>
  <c r="K25" i="10"/>
  <c r="L26" i="10"/>
  <c r="D26" i="10"/>
  <c r="G31" i="10"/>
  <c r="B84" i="10" s="1"/>
  <c r="H27" i="7"/>
  <c r="I28" i="7"/>
  <c r="G27" i="7"/>
  <c r="J26" i="7"/>
  <c r="F26" i="7"/>
  <c r="J25" i="7"/>
  <c r="F25" i="7"/>
  <c r="K24" i="7"/>
  <c r="G24" i="7"/>
  <c r="L24" i="7"/>
  <c r="J27" i="7"/>
  <c r="F27" i="7"/>
  <c r="I26" i="7"/>
  <c r="M25" i="7"/>
  <c r="I25" i="7"/>
  <c r="N24" i="7"/>
  <c r="J24" i="7"/>
  <c r="F24" i="7"/>
  <c r="I27" i="7"/>
  <c r="M24" i="7"/>
  <c r="I24" i="7"/>
  <c r="B35" i="10"/>
  <c r="C35" i="10"/>
  <c r="B88" i="10" s="1"/>
  <c r="D88" i="10" s="1"/>
  <c r="E33" i="10"/>
  <c r="B86" i="10" s="1"/>
  <c r="D33" i="10"/>
  <c r="B32" i="10"/>
  <c r="F32" i="10"/>
  <c r="B85" i="10" s="1"/>
  <c r="C32" i="10"/>
  <c r="E32" i="10"/>
  <c r="B31" i="10"/>
  <c r="F31" i="10"/>
  <c r="E31" i="10"/>
  <c r="F30" i="10"/>
  <c r="E30" i="10"/>
  <c r="H30" i="10"/>
  <c r="C29" i="10"/>
  <c r="E29" i="10"/>
  <c r="H29" i="10"/>
  <c r="D29" i="10"/>
  <c r="B29" i="10"/>
  <c r="D28" i="10"/>
  <c r="C28" i="10"/>
  <c r="J28" i="10"/>
  <c r="B81" i="10" s="1"/>
  <c r="F28" i="10"/>
  <c r="H28" i="10"/>
  <c r="G28" i="10"/>
  <c r="B28" i="10"/>
  <c r="I28" i="10"/>
  <c r="J27" i="10"/>
  <c r="I27" i="10"/>
  <c r="E27" i="10"/>
  <c r="H27" i="10"/>
  <c r="K26" i="10"/>
  <c r="G26" i="10"/>
  <c r="J26" i="10"/>
  <c r="J25" i="10"/>
  <c r="C25" i="10"/>
  <c r="M25" i="10"/>
  <c r="B78" i="10" s="1"/>
  <c r="I25" i="10"/>
  <c r="L24" i="10"/>
  <c r="H24" i="10"/>
  <c r="D24" i="10"/>
  <c r="K24" i="10"/>
  <c r="G23" i="10"/>
  <c r="N23" i="10"/>
  <c r="J23" i="10"/>
  <c r="F23" i="10"/>
  <c r="O23" i="10"/>
  <c r="B76" i="10" s="1"/>
  <c r="M23" i="10"/>
  <c r="I23" i="10"/>
  <c r="E23" i="10"/>
  <c r="L23" i="10"/>
  <c r="H23" i="10"/>
  <c r="C22" i="10"/>
  <c r="N22" i="10"/>
  <c r="J22" i="10"/>
  <c r="F22" i="10"/>
  <c r="B22" i="10"/>
  <c r="M22" i="10"/>
  <c r="I22" i="10"/>
  <c r="E22" i="10"/>
  <c r="P22" i="10"/>
  <c r="B75" i="10" s="1"/>
  <c r="D75" i="10" s="1"/>
  <c r="L22" i="10"/>
  <c r="H22" i="10"/>
  <c r="B87" i="10"/>
  <c r="D87" i="10" s="1"/>
  <c r="D89" i="10"/>
  <c r="D56" i="12" l="1"/>
  <c r="E56" i="12" s="1"/>
  <c r="F56" i="12" s="1"/>
  <c r="G56" i="12" s="1"/>
  <c r="C41" i="12"/>
  <c r="B50" i="12" s="1"/>
  <c r="C50" i="12" s="1"/>
  <c r="D50" i="12" s="1"/>
  <c r="G58" i="12" s="1"/>
  <c r="C40" i="12"/>
  <c r="B51" i="12" s="1"/>
  <c r="C51" i="12" s="1"/>
  <c r="D51" i="12" s="1"/>
  <c r="G59" i="12" s="1"/>
  <c r="B39" i="10"/>
  <c r="B44" i="10"/>
  <c r="B42" i="10"/>
  <c r="B41" i="10"/>
  <c r="B40" i="10"/>
  <c r="B43" i="10"/>
  <c r="B83" i="10"/>
  <c r="D80" i="10"/>
  <c r="D76" i="10"/>
  <c r="D85" i="10"/>
  <c r="B47" i="10"/>
  <c r="B45" i="10"/>
  <c r="B49" i="10"/>
  <c r="B48" i="10"/>
  <c r="D86" i="10"/>
  <c r="D81" i="10"/>
  <c r="B52" i="10"/>
  <c r="C52" i="10" s="1"/>
  <c r="B57" i="10" s="1"/>
  <c r="C57" i="10" s="1"/>
  <c r="D57" i="10" s="1"/>
  <c r="B51" i="10"/>
  <c r="B46" i="10"/>
  <c r="B79" i="10"/>
  <c r="D78" i="10"/>
  <c r="B82" i="10"/>
  <c r="D84" i="10"/>
  <c r="I56" i="12" l="1"/>
  <c r="I61" i="12" s="1"/>
  <c r="H56" i="12"/>
  <c r="D82" i="10"/>
  <c r="B77" i="10"/>
  <c r="B50" i="10"/>
  <c r="C50" i="10" s="1"/>
  <c r="B59" i="10" s="1"/>
  <c r="C59" i="10" s="1"/>
  <c r="D59" i="10" s="1"/>
  <c r="D79" i="10"/>
  <c r="C51" i="10"/>
  <c r="B58" i="10" s="1"/>
  <c r="C58" i="10" s="1"/>
  <c r="D58" i="10" s="1"/>
  <c r="D83" i="10"/>
  <c r="C39" i="10" l="1"/>
  <c r="B71" i="10" s="1"/>
  <c r="C71" i="10" s="1"/>
  <c r="D71" i="10" s="1"/>
  <c r="C49" i="10"/>
  <c r="B60" i="10" s="1"/>
  <c r="C60" i="10" s="1"/>
  <c r="D60" i="10" s="1"/>
  <c r="C45" i="10"/>
  <c r="B64" i="10" s="1"/>
  <c r="C64" i="10" s="1"/>
  <c r="D64" i="10" s="1"/>
  <c r="C43" i="10"/>
  <c r="B66" i="10" s="1"/>
  <c r="C66" i="10" s="1"/>
  <c r="D66" i="10" s="1"/>
  <c r="D77" i="10"/>
  <c r="E75" i="10" s="1"/>
  <c r="F75" i="10" s="1"/>
  <c r="C42" i="10"/>
  <c r="B67" i="10" s="1"/>
  <c r="C67" i="10" s="1"/>
  <c r="D67" i="10" s="1"/>
  <c r="C44" i="10"/>
  <c r="B65" i="10" s="1"/>
  <c r="C65" i="10" s="1"/>
  <c r="D65" i="10" s="1"/>
  <c r="C47" i="10"/>
  <c r="B62" i="10" s="1"/>
  <c r="C62" i="10" s="1"/>
  <c r="D62" i="10" s="1"/>
  <c r="C41" i="10"/>
  <c r="B68" i="10" s="1"/>
  <c r="C68" i="10" s="1"/>
  <c r="D68" i="10" s="1"/>
  <c r="C46" i="10"/>
  <c r="B63" i="10" s="1"/>
  <c r="C63" i="10" s="1"/>
  <c r="D63" i="10" s="1"/>
  <c r="C40" i="10"/>
  <c r="B69" i="10" s="1"/>
  <c r="C69" i="10" s="1"/>
  <c r="D69" i="10" s="1"/>
  <c r="C48" i="10"/>
  <c r="B61" i="10" s="1"/>
  <c r="C61" i="10" s="1"/>
  <c r="D61" i="10" s="1"/>
  <c r="I75" i="10" l="1"/>
  <c r="G75" i="10"/>
  <c r="J75" i="10"/>
  <c r="B70" i="10"/>
  <c r="C70" i="10" s="1"/>
  <c r="D70" i="10" s="1"/>
  <c r="E86" i="10"/>
  <c r="E82" i="10"/>
  <c r="E78" i="10"/>
  <c r="E87" i="10"/>
  <c r="E83" i="10"/>
  <c r="E77" i="10"/>
  <c r="E89" i="10"/>
  <c r="E88" i="10"/>
  <c r="E85" i="10"/>
  <c r="E84" i="10"/>
  <c r="E79" i="10"/>
  <c r="E76" i="10"/>
  <c r="E81" i="10"/>
  <c r="E80" i="10"/>
  <c r="F76" i="10" l="1"/>
  <c r="J76" i="10" s="1"/>
  <c r="F88" i="10"/>
  <c r="J88" i="10" s="1"/>
  <c r="F87" i="10"/>
  <c r="J87" i="10" s="1"/>
  <c r="F81" i="10"/>
  <c r="J81" i="10" s="1"/>
  <c r="F85" i="10"/>
  <c r="J85" i="10" s="1"/>
  <c r="F83" i="10"/>
  <c r="J83" i="10" s="1"/>
  <c r="F86" i="10"/>
  <c r="J86" i="10" s="1"/>
  <c r="F79" i="10"/>
  <c r="J79" i="10" s="1"/>
  <c r="F89" i="10"/>
  <c r="J89" i="10" s="1"/>
  <c r="F78" i="10"/>
  <c r="J78" i="10" s="1"/>
  <c r="F80" i="10"/>
  <c r="J80" i="10" s="1"/>
  <c r="F84" i="10"/>
  <c r="J84" i="10" s="1"/>
  <c r="F77" i="10"/>
  <c r="J77" i="10" s="1"/>
  <c r="F82" i="10"/>
  <c r="J82" i="10" s="1"/>
  <c r="I76" i="10"/>
  <c r="I78" i="10"/>
  <c r="G77" i="10"/>
  <c r="I82" i="10"/>
  <c r="G88" i="10"/>
  <c r="I89" i="10"/>
  <c r="G85" i="10"/>
  <c r="I85" i="10"/>
  <c r="I83" i="10"/>
  <c r="G82" i="10" l="1"/>
  <c r="G83" i="10"/>
  <c r="I88" i="10"/>
  <c r="G89" i="10"/>
  <c r="I77" i="10"/>
  <c r="G76" i="10"/>
  <c r="K75" i="10"/>
  <c r="G78" i="10"/>
  <c r="I81" i="10"/>
  <c r="I80" i="10"/>
  <c r="I79" i="10"/>
  <c r="G80" i="10"/>
  <c r="G81" i="10"/>
  <c r="G79" i="10"/>
  <c r="I84" i="10"/>
  <c r="I87" i="10"/>
  <c r="I86" i="10"/>
  <c r="G86" i="10"/>
  <c r="G84" i="10"/>
  <c r="G87" i="10"/>
  <c r="H75" i="10" l="1"/>
  <c r="I90" i="10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B89" i="7"/>
  <c r="D89" i="7" s="1"/>
  <c r="B88" i="7"/>
  <c r="D88" i="7" s="1"/>
  <c r="B87" i="7"/>
  <c r="D87" i="7" s="1"/>
  <c r="B86" i="7"/>
  <c r="D86" i="7" s="1"/>
  <c r="B85" i="7"/>
  <c r="D85" i="7" s="1"/>
  <c r="B84" i="7"/>
  <c r="D84" i="7" s="1"/>
  <c r="B83" i="7"/>
  <c r="D83" i="7" s="1"/>
  <c r="B82" i="7"/>
  <c r="D82" i="7" s="1"/>
  <c r="B81" i="7"/>
  <c r="D81" i="7" s="1"/>
  <c r="B80" i="7"/>
  <c r="D80" i="7" s="1"/>
  <c r="B79" i="7"/>
  <c r="D79" i="7" s="1"/>
  <c r="B78" i="7"/>
  <c r="D78" i="7" s="1"/>
  <c r="B77" i="7"/>
  <c r="D77" i="7" s="1"/>
  <c r="B75" i="7"/>
  <c r="K8" i="7"/>
  <c r="B17" i="7"/>
  <c r="C16" i="7"/>
  <c r="D15" i="7"/>
  <c r="F13" i="7"/>
  <c r="B9" i="7"/>
  <c r="C5" i="7"/>
  <c r="E4" i="7"/>
  <c r="C4" i="7"/>
  <c r="C3" i="7"/>
  <c r="B3" i="7"/>
  <c r="Y4" i="7"/>
  <c r="F4" i="7" s="1"/>
  <c r="X5" i="7"/>
  <c r="D5" i="7" s="1"/>
  <c r="X6" i="7"/>
  <c r="C6" i="7" s="1"/>
  <c r="Y6" i="7"/>
  <c r="D6" i="7" s="1"/>
  <c r="Y7" i="7"/>
  <c r="C7" i="7" s="1"/>
  <c r="Z7" i="7"/>
  <c r="D7" i="7" s="1"/>
  <c r="Z8" i="7"/>
  <c r="C8" i="7" s="1"/>
  <c r="AA8" i="7"/>
  <c r="D8" i="7" s="1"/>
  <c r="AA9" i="7"/>
  <c r="C9" i="7" s="1"/>
  <c r="AB9" i="7"/>
  <c r="D9" i="7" s="1"/>
  <c r="AA10" i="7"/>
  <c r="B10" i="7" s="1"/>
  <c r="AB10" i="7"/>
  <c r="C10" i="7" s="1"/>
  <c r="AC10" i="7"/>
  <c r="D10" i="7" s="1"/>
  <c r="AC11" i="7"/>
  <c r="C11" i="7" s="1"/>
  <c r="AD11" i="7"/>
  <c r="D11" i="7" s="1"/>
  <c r="AC12" i="7"/>
  <c r="B12" i="7" s="1"/>
  <c r="AD12" i="7"/>
  <c r="C12" i="7" s="1"/>
  <c r="AE12" i="7"/>
  <c r="D12" i="7" s="1"/>
  <c r="AD13" i="7"/>
  <c r="B13" i="7" s="1"/>
  <c r="AF13" i="7"/>
  <c r="D13" i="7" s="1"/>
  <c r="AG13" i="7"/>
  <c r="E13" i="7" s="1"/>
  <c r="AF14" i="7"/>
  <c r="C14" i="7" s="1"/>
  <c r="AG14" i="7"/>
  <c r="D14" i="7" s="1"/>
  <c r="AF15" i="7"/>
  <c r="B15" i="7" s="1"/>
  <c r="AG15" i="7"/>
  <c r="C15" i="7" s="1"/>
  <c r="AG16" i="7"/>
  <c r="B16" i="7" s="1"/>
  <c r="K9" i="6"/>
  <c r="K6" i="6"/>
  <c r="M3" i="6"/>
  <c r="L3" i="6"/>
  <c r="K3" i="6"/>
  <c r="D75" i="7" l="1"/>
  <c r="C60" i="6"/>
  <c r="F60" i="6" s="1"/>
  <c r="C59" i="6"/>
  <c r="F59" i="6" s="1"/>
  <c r="C58" i="6"/>
  <c r="F58" i="6" s="1"/>
  <c r="C57" i="6"/>
  <c r="F57" i="6" s="1"/>
  <c r="C56" i="6"/>
  <c r="I15" i="6"/>
  <c r="B34" i="6" s="1"/>
  <c r="B60" i="6" s="1"/>
  <c r="J12" i="6"/>
  <c r="I12" i="6"/>
  <c r="J9" i="6"/>
  <c r="I9" i="6"/>
  <c r="J6" i="6"/>
  <c r="L6" i="6"/>
  <c r="E25" i="6" s="1"/>
  <c r="I6" i="6"/>
  <c r="J3" i="6"/>
  <c r="I3" i="6"/>
  <c r="L6" i="5"/>
  <c r="I15" i="5"/>
  <c r="B34" i="5" s="1"/>
  <c r="B60" i="5" s="1"/>
  <c r="J12" i="5"/>
  <c r="I12" i="5"/>
  <c r="I9" i="5"/>
  <c r="D28" i="5" s="1"/>
  <c r="B58" i="5" s="1"/>
  <c r="I6" i="5"/>
  <c r="B25" i="5" s="1"/>
  <c r="I3" i="5"/>
  <c r="C22" i="5" s="1"/>
  <c r="F57" i="5"/>
  <c r="G57" i="5" s="1"/>
  <c r="F59" i="5"/>
  <c r="C60" i="5"/>
  <c r="F60" i="5" s="1"/>
  <c r="C59" i="5"/>
  <c r="C58" i="5"/>
  <c r="F58" i="5" s="1"/>
  <c r="C57" i="5"/>
  <c r="C56" i="5"/>
  <c r="D49" i="5"/>
  <c r="C49" i="5"/>
  <c r="B49" i="5"/>
  <c r="C31" i="5"/>
  <c r="B59" i="5" s="1"/>
  <c r="B31" i="5"/>
  <c r="D25" i="5"/>
  <c r="C25" i="5"/>
  <c r="D22" i="5"/>
  <c r="D60" i="6" l="1"/>
  <c r="I60" i="6"/>
  <c r="D25" i="6"/>
  <c r="B76" i="7"/>
  <c r="D76" i="7" s="1"/>
  <c r="E75" i="7" s="1"/>
  <c r="F75" i="7" s="1"/>
  <c r="D58" i="5"/>
  <c r="I58" i="5"/>
  <c r="D60" i="5"/>
  <c r="I60" i="5"/>
  <c r="B28" i="5"/>
  <c r="D59" i="5"/>
  <c r="I59" i="5"/>
  <c r="E22" i="5"/>
  <c r="B43" i="5" s="1"/>
  <c r="C43" i="5" s="1"/>
  <c r="B48" i="5" s="1"/>
  <c r="C48" i="5" s="1"/>
  <c r="D48" i="5" s="1"/>
  <c r="F22" i="5"/>
  <c r="B56" i="5" s="1"/>
  <c r="C28" i="5"/>
  <c r="B22" i="5"/>
  <c r="B39" i="5" s="1"/>
  <c r="D56" i="5"/>
  <c r="E22" i="6"/>
  <c r="B39" i="7"/>
  <c r="B40" i="7"/>
  <c r="B52" i="7"/>
  <c r="C52" i="7" s="1"/>
  <c r="B57" i="7" s="1"/>
  <c r="C57" i="7" s="1"/>
  <c r="D57" i="7" s="1"/>
  <c r="D28" i="6"/>
  <c r="B58" i="6" s="1"/>
  <c r="B28" i="6"/>
  <c r="C28" i="6"/>
  <c r="C31" i="6"/>
  <c r="B59" i="6" s="1"/>
  <c r="B31" i="6"/>
  <c r="F22" i="6"/>
  <c r="B42" i="6" s="1"/>
  <c r="C42" i="6" s="1"/>
  <c r="B49" i="6" s="1"/>
  <c r="C49" i="6" s="1"/>
  <c r="D49" i="6" s="1"/>
  <c r="G57" i="6" s="1"/>
  <c r="C22" i="6"/>
  <c r="D22" i="6"/>
  <c r="C25" i="6"/>
  <c r="B22" i="6"/>
  <c r="B57" i="6"/>
  <c r="B25" i="6"/>
  <c r="E25" i="5"/>
  <c r="B57" i="5" s="1"/>
  <c r="B40" i="5"/>
  <c r="D59" i="6" l="1"/>
  <c r="I59" i="6"/>
  <c r="D57" i="6"/>
  <c r="I57" i="6"/>
  <c r="B39" i="6"/>
  <c r="D58" i="6"/>
  <c r="I58" i="6"/>
  <c r="E56" i="5"/>
  <c r="B41" i="5"/>
  <c r="D57" i="5"/>
  <c r="I57" i="5"/>
  <c r="C41" i="5"/>
  <c r="B50" i="5" s="1"/>
  <c r="C50" i="5" s="1"/>
  <c r="D50" i="5" s="1"/>
  <c r="G58" i="5" s="1"/>
  <c r="E76" i="7"/>
  <c r="F76" i="7" s="1"/>
  <c r="E77" i="7"/>
  <c r="F77" i="7" s="1"/>
  <c r="E87" i="7"/>
  <c r="F87" i="7" s="1"/>
  <c r="E82" i="7"/>
  <c r="F82" i="7" s="1"/>
  <c r="E89" i="7"/>
  <c r="F89" i="7" s="1"/>
  <c r="E88" i="7"/>
  <c r="F88" i="7" s="1"/>
  <c r="E83" i="7"/>
  <c r="F83" i="7" s="1"/>
  <c r="E78" i="7"/>
  <c r="F78" i="7" s="1"/>
  <c r="E85" i="7"/>
  <c r="F85" i="7" s="1"/>
  <c r="E84" i="7"/>
  <c r="F84" i="7" s="1"/>
  <c r="E79" i="7"/>
  <c r="F79" i="7" s="1"/>
  <c r="E81" i="7"/>
  <c r="F81" i="7" s="1"/>
  <c r="E80" i="7"/>
  <c r="F80" i="7" s="1"/>
  <c r="E86" i="7"/>
  <c r="F86" i="7" s="1"/>
  <c r="B49" i="7"/>
  <c r="B45" i="7"/>
  <c r="B41" i="7"/>
  <c r="B44" i="7"/>
  <c r="B50" i="7"/>
  <c r="B51" i="7"/>
  <c r="C51" i="7" s="1"/>
  <c r="B58" i="7" s="1"/>
  <c r="C58" i="7" s="1"/>
  <c r="D58" i="7" s="1"/>
  <c r="B46" i="7"/>
  <c r="B43" i="7"/>
  <c r="B42" i="7"/>
  <c r="B48" i="7"/>
  <c r="B47" i="7"/>
  <c r="B40" i="6"/>
  <c r="B56" i="6"/>
  <c r="C43" i="6"/>
  <c r="B48" i="6" s="1"/>
  <c r="C48" i="6" s="1"/>
  <c r="D48" i="6" s="1"/>
  <c r="B41" i="6"/>
  <c r="C39" i="5"/>
  <c r="B52" i="5" s="1"/>
  <c r="C52" i="5" s="1"/>
  <c r="D52" i="5" s="1"/>
  <c r="G60" i="5" s="1"/>
  <c r="C40" i="5"/>
  <c r="B51" i="5" s="1"/>
  <c r="C51" i="5" s="1"/>
  <c r="D51" i="5" s="1"/>
  <c r="G59" i="5" s="1"/>
  <c r="F56" i="5" l="1"/>
  <c r="I56" i="5" s="1"/>
  <c r="G56" i="5"/>
  <c r="I61" i="5"/>
  <c r="D56" i="6"/>
  <c r="E56" i="6" s="1"/>
  <c r="F56" i="6" s="1"/>
  <c r="I56" i="6" s="1"/>
  <c r="I61" i="6" s="1"/>
  <c r="I79" i="7"/>
  <c r="I83" i="7"/>
  <c r="I87" i="7"/>
  <c r="I86" i="7"/>
  <c r="I84" i="7"/>
  <c r="I88" i="7"/>
  <c r="I77" i="7"/>
  <c r="I80" i="7"/>
  <c r="I85" i="7"/>
  <c r="I89" i="7"/>
  <c r="G75" i="7"/>
  <c r="I75" i="7"/>
  <c r="I81" i="7"/>
  <c r="I78" i="7"/>
  <c r="I82" i="7"/>
  <c r="G76" i="7"/>
  <c r="I76" i="7"/>
  <c r="C48" i="7"/>
  <c r="B61" i="7" s="1"/>
  <c r="C61" i="7" s="1"/>
  <c r="D61" i="7" s="1"/>
  <c r="G79" i="7" s="1"/>
  <c r="C40" i="7"/>
  <c r="B69" i="7" s="1"/>
  <c r="C69" i="7" s="1"/>
  <c r="D69" i="7" s="1"/>
  <c r="G87" i="7" s="1"/>
  <c r="C45" i="7"/>
  <c r="B64" i="7" s="1"/>
  <c r="C64" i="7" s="1"/>
  <c r="D64" i="7" s="1"/>
  <c r="G82" i="7" s="1"/>
  <c r="C42" i="7"/>
  <c r="B67" i="7" s="1"/>
  <c r="C67" i="7" s="1"/>
  <c r="D67" i="7" s="1"/>
  <c r="G85" i="7" s="1"/>
  <c r="C50" i="7"/>
  <c r="B59" i="7" s="1"/>
  <c r="C59" i="7" s="1"/>
  <c r="D59" i="7" s="1"/>
  <c r="G77" i="7" s="1"/>
  <c r="C39" i="7"/>
  <c r="C43" i="7"/>
  <c r="B66" i="7" s="1"/>
  <c r="C66" i="7" s="1"/>
  <c r="D66" i="7" s="1"/>
  <c r="G84" i="7" s="1"/>
  <c r="C44" i="7"/>
  <c r="B65" i="7" s="1"/>
  <c r="C65" i="7" s="1"/>
  <c r="D65" i="7" s="1"/>
  <c r="G83" i="7" s="1"/>
  <c r="C47" i="7"/>
  <c r="B62" i="7" s="1"/>
  <c r="C62" i="7" s="1"/>
  <c r="D62" i="7" s="1"/>
  <c r="G80" i="7" s="1"/>
  <c r="C46" i="7"/>
  <c r="B63" i="7" s="1"/>
  <c r="C63" i="7" s="1"/>
  <c r="D63" i="7" s="1"/>
  <c r="G81" i="7" s="1"/>
  <c r="C41" i="7"/>
  <c r="B68" i="7" s="1"/>
  <c r="C68" i="7" s="1"/>
  <c r="D68" i="7" s="1"/>
  <c r="G86" i="7" s="1"/>
  <c r="C49" i="7"/>
  <c r="B60" i="7" s="1"/>
  <c r="C60" i="7" s="1"/>
  <c r="D60" i="7" s="1"/>
  <c r="G78" i="7" s="1"/>
  <c r="C40" i="6"/>
  <c r="B51" i="6" s="1"/>
  <c r="C51" i="6" s="1"/>
  <c r="D51" i="6" s="1"/>
  <c r="G59" i="6" s="1"/>
  <c r="C39" i="6"/>
  <c r="B52" i="6" s="1"/>
  <c r="C52" i="6" s="1"/>
  <c r="D52" i="6" s="1"/>
  <c r="G60" i="6" s="1"/>
  <c r="C41" i="6"/>
  <c r="B50" i="6" s="1"/>
  <c r="C50" i="6" s="1"/>
  <c r="D50" i="6" s="1"/>
  <c r="G58" i="6" s="1"/>
  <c r="H56" i="5"/>
  <c r="B71" i="7" l="1"/>
  <c r="C71" i="7" s="1"/>
  <c r="D71" i="7" s="1"/>
  <c r="G89" i="7" s="1"/>
  <c r="B70" i="7"/>
  <c r="C70" i="7" s="1"/>
  <c r="D70" i="7" s="1"/>
  <c r="G88" i="7" s="1"/>
  <c r="H75" i="7" s="1"/>
  <c r="G56" i="6"/>
  <c r="H56" i="6" s="1"/>
  <c r="F44" i="1" l="1"/>
  <c r="F50" i="1"/>
  <c r="F53" i="1"/>
  <c r="E34" i="1"/>
  <c r="B25" i="1" l="1"/>
  <c r="O18" i="1"/>
  <c r="O17" i="1"/>
  <c r="O16" i="1"/>
  <c r="O15" i="1"/>
  <c r="N17" i="1"/>
  <c r="N16" i="1"/>
  <c r="N15" i="1"/>
  <c r="M14" i="1" l="1"/>
  <c r="L15" i="1"/>
  <c r="L13" i="1"/>
  <c r="L14" i="1"/>
  <c r="K14" i="1"/>
  <c r="K12" i="1"/>
  <c r="K13" i="1"/>
  <c r="J11" i="1"/>
  <c r="J12" i="1"/>
  <c r="I10" i="1"/>
  <c r="I12" i="1"/>
  <c r="I11" i="1"/>
  <c r="H9" i="1"/>
  <c r="H10" i="1"/>
  <c r="G9" i="1"/>
  <c r="G8" i="1"/>
  <c r="G6" i="1"/>
  <c r="F7" i="1"/>
  <c r="F8" i="1"/>
  <c r="D31" i="1" l="1"/>
  <c r="E31" i="1"/>
  <c r="C28" i="1"/>
  <c r="C25" i="1"/>
  <c r="D28" i="1"/>
</calcChain>
</file>

<file path=xl/sharedStrings.xml><?xml version="1.0" encoding="utf-8"?>
<sst xmlns="http://schemas.openxmlformats.org/spreadsheetml/2006/main" count="294" uniqueCount="51">
  <si>
    <t>RUN OFF TRIANGLE</t>
  </si>
  <si>
    <t>T PENUNDAAN</t>
  </si>
  <si>
    <t>T KEJADIAN</t>
  </si>
  <si>
    <t>Q-1</t>
  </si>
  <si>
    <t>Q-2</t>
  </si>
  <si>
    <t>Q-3</t>
  </si>
  <si>
    <t>Q-4</t>
  </si>
  <si>
    <t>BULAN</t>
  </si>
  <si>
    <t>PREMI</t>
  </si>
  <si>
    <t>Q-5</t>
  </si>
  <si>
    <t>run off triangle cumulative data</t>
  </si>
  <si>
    <t>development factor</t>
  </si>
  <si>
    <t>1/0</t>
  </si>
  <si>
    <t>2/1</t>
  </si>
  <si>
    <t>3/2</t>
  </si>
  <si>
    <t>4/3</t>
  </si>
  <si>
    <t>5/4</t>
  </si>
  <si>
    <t>cumulative d'</t>
  </si>
  <si>
    <t>cumulative development factor (F) ~ diurutkan berdasarkan nilai paling kecil karena tidak adanya estimasi</t>
  </si>
  <si>
    <t>accident period</t>
  </si>
  <si>
    <t>F</t>
  </si>
  <si>
    <t>Unpaid ratio</t>
  </si>
  <si>
    <t>%</t>
  </si>
  <si>
    <t>loss ratio = paid to date / earned premium</t>
  </si>
  <si>
    <t>paid to date</t>
  </si>
  <si>
    <t>loss ratio</t>
  </si>
  <si>
    <t>earned premium</t>
  </si>
  <si>
    <t>expected loss ratio = 1/n sigma i sampai n dari lossratio</t>
  </si>
  <si>
    <t>expected loss ratio (ELR)</t>
  </si>
  <si>
    <t>estimates ultimate loss</t>
  </si>
  <si>
    <t>estimates ultimate loss = ELR * earned premium</t>
  </si>
  <si>
    <t>expected loss reserve = estimated ultimate loss * unpaid ratio</t>
  </si>
  <si>
    <t>expected loss reserve</t>
  </si>
  <si>
    <t>estimasi cadangan klaim</t>
  </si>
  <si>
    <t>6/5</t>
  </si>
  <si>
    <t>7/6</t>
  </si>
  <si>
    <t>8/7</t>
  </si>
  <si>
    <t>9/8</t>
  </si>
  <si>
    <t>10/9</t>
  </si>
  <si>
    <t>11/10</t>
  </si>
  <si>
    <t>12/11</t>
  </si>
  <si>
    <t>13/12</t>
  </si>
  <si>
    <t>14/15</t>
  </si>
  <si>
    <t>MAPE</t>
  </si>
  <si>
    <t>IBNR</t>
  </si>
  <si>
    <t>TGL KEJADIAN</t>
  </si>
  <si>
    <t>TGL PELAPORAN</t>
  </si>
  <si>
    <t>NET KLAIM</t>
  </si>
  <si>
    <t>C</t>
  </si>
  <si>
    <t>WAPE</t>
  </si>
  <si>
    <t>|ACT-PRED|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</si>
</sst>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* #,##0_-;\-* #,##0_-;_-* &quot;-&quot;??_-;_-@_-"/>
    <numFmt numFmtId="165" formatCode="_-[$Rp-3809]* #,##0_-;\-[$Rp-3809]* #,##0_-;_-[$Rp-3809]* &quot;-&quot;??_-;_-@_-"/>
    <numFmt numFmtId="166" formatCode="_-&quot;Rp&quot;* #,##0_-;\-&quot;Rp&quot;* #,##0_-;_-&quot;Rp&quot;* &quot;-&quot;??_-;_-@_-"/>
    <numFmt numFmtId="167" formatCode="0.0000%"/>
    <numFmt numFmtId="168" formatCode="_-* #,##0.00_-;\-* #,##0.00_-;_-* &quot;-&quot;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0" tint="-4.9989318521683403E-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2"/>
      <name val="Times New Roman"/>
      <family val="1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 vertical="center"/>
    </xf>
    <xf numFmtId="17" fontId="2" fillId="4" borderId="1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0" borderId="7" xfId="0" applyFont="1" applyBorder="1"/>
    <xf numFmtId="17" fontId="2" fillId="0" borderId="0" xfId="0" applyNumberFormat="1" applyFont="1" applyAlignment="1">
      <alignment horizontal="center"/>
    </xf>
    <xf numFmtId="43" fontId="4" fillId="0" borderId="0" xfId="1" applyFont="1" applyFill="1" applyBorder="1"/>
    <xf numFmtId="0" fontId="2" fillId="0" borderId="7" xfId="0" applyFont="1" applyBorder="1" applyAlignment="1">
      <alignment horizontal="center"/>
    </xf>
    <xf numFmtId="43" fontId="4" fillId="0" borderId="7" xfId="1" applyFont="1" applyFill="1" applyBorder="1"/>
    <xf numFmtId="43" fontId="3" fillId="0" borderId="7" xfId="1" applyFont="1" applyFill="1" applyBorder="1" applyAlignment="1">
      <alignment horizontal="center" vertical="center"/>
    </xf>
    <xf numFmtId="17" fontId="2" fillId="6" borderId="1" xfId="0" applyNumberFormat="1" applyFont="1" applyFill="1" applyBorder="1" applyAlignment="1">
      <alignment horizontal="center" vertical="center"/>
    </xf>
    <xf numFmtId="164" fontId="6" fillId="0" borderId="1" xfId="1" applyNumberFormat="1" applyFont="1" applyBorder="1"/>
    <xf numFmtId="0" fontId="2" fillId="0" borderId="8" xfId="0" applyFont="1" applyBorder="1"/>
    <xf numFmtId="0" fontId="0" fillId="0" borderId="8" xfId="0" applyBorder="1"/>
    <xf numFmtId="17" fontId="7" fillId="7" borderId="1" xfId="0" applyNumberFormat="1" applyFont="1" applyFill="1" applyBorder="1" applyAlignment="1">
      <alignment horizontal="center"/>
    </xf>
    <xf numFmtId="17" fontId="2" fillId="8" borderId="1" xfId="0" applyNumberFormat="1" applyFont="1" applyFill="1" applyBorder="1" applyAlignment="1">
      <alignment horizontal="center" vertical="center"/>
    </xf>
    <xf numFmtId="164" fontId="6" fillId="0" borderId="4" xfId="1" applyNumberFormat="1" applyFont="1" applyBorder="1"/>
    <xf numFmtId="17" fontId="8" fillId="7" borderId="1" xfId="0" applyNumberFormat="1" applyFont="1" applyFill="1" applyBorder="1" applyAlignment="1">
      <alignment horizontal="center" vertical="center"/>
    </xf>
    <xf numFmtId="164" fontId="9" fillId="7" borderId="1" xfId="1" applyNumberFormat="1" applyFont="1" applyFill="1" applyBorder="1"/>
    <xf numFmtId="17" fontId="8" fillId="7" borderId="1" xfId="0" applyNumberFormat="1" applyFont="1" applyFill="1" applyBorder="1" applyAlignment="1">
      <alignment horizontal="center"/>
    </xf>
    <xf numFmtId="17" fontId="2" fillId="7" borderId="1" xfId="0" applyNumberFormat="1" applyFont="1" applyFill="1" applyBorder="1" applyAlignment="1">
      <alignment horizontal="center" vertical="center"/>
    </xf>
    <xf numFmtId="164" fontId="5" fillId="2" borderId="4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/>
    <xf numFmtId="164" fontId="6" fillId="2" borderId="1" xfId="1" applyNumberFormat="1" applyFont="1" applyFill="1" applyBorder="1"/>
    <xf numFmtId="164" fontId="5" fillId="2" borderId="1" xfId="1" applyNumberFormat="1" applyFont="1" applyFill="1" applyBorder="1" applyAlignment="1">
      <alignment horizontal="center" vertical="center"/>
    </xf>
    <xf numFmtId="164" fontId="6" fillId="9" borderId="4" xfId="1" applyNumberFormat="1" applyFont="1" applyFill="1" applyBorder="1"/>
    <xf numFmtId="164" fontId="5" fillId="9" borderId="1" xfId="1" applyNumberFormat="1" applyFont="1" applyFill="1" applyBorder="1" applyAlignment="1">
      <alignment horizontal="center" vertical="center"/>
    </xf>
    <xf numFmtId="164" fontId="6" fillId="9" borderId="1" xfId="1" applyNumberFormat="1" applyFont="1" applyFill="1" applyBorder="1"/>
    <xf numFmtId="41" fontId="6" fillId="9" borderId="0" xfId="0" applyNumberFormat="1" applyFont="1" applyFill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9" fontId="0" fillId="0" borderId="0" xfId="3" applyFont="1"/>
    <xf numFmtId="9" fontId="6" fillId="0" borderId="1" xfId="3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164" fontId="11" fillId="7" borderId="1" xfId="1" applyNumberFormat="1" applyFont="1" applyFill="1" applyBorder="1"/>
    <xf numFmtId="164" fontId="11" fillId="7" borderId="4" xfId="1" applyNumberFormat="1" applyFont="1" applyFill="1" applyBorder="1"/>
    <xf numFmtId="0" fontId="12" fillId="7" borderId="1" xfId="0" applyFont="1" applyFill="1" applyBorder="1" applyAlignment="1">
      <alignment horizontal="center" vertical="center" wrapText="1"/>
    </xf>
    <xf numFmtId="164" fontId="11" fillId="9" borderId="1" xfId="1" applyNumberFormat="1" applyFont="1" applyFill="1" applyBorder="1"/>
    <xf numFmtId="0" fontId="10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vertical="center"/>
    </xf>
    <xf numFmtId="164" fontId="5" fillId="5" borderId="1" xfId="1" applyNumberFormat="1" applyFont="1" applyFill="1" applyBorder="1" applyAlignment="1">
      <alignment vertical="center"/>
    </xf>
    <xf numFmtId="164" fontId="6" fillId="0" borderId="1" xfId="1" applyNumberFormat="1" applyFont="1" applyBorder="1" applyAlignment="1">
      <alignment vertical="center"/>
    </xf>
    <xf numFmtId="164" fontId="0" fillId="0" borderId="0" xfId="0" applyNumberFormat="1"/>
    <xf numFmtId="167" fontId="6" fillId="0" borderId="1" xfId="3" applyNumberFormat="1" applyFont="1" applyBorder="1" applyAlignment="1">
      <alignment horizontal="center"/>
    </xf>
    <xf numFmtId="0" fontId="12" fillId="7" borderId="3" xfId="0" applyFont="1" applyFill="1" applyBorder="1" applyAlignment="1">
      <alignment horizontal="center" vertical="center" wrapText="1"/>
    </xf>
    <xf numFmtId="9" fontId="0" fillId="0" borderId="0" xfId="0" applyNumberFormat="1"/>
    <xf numFmtId="164" fontId="13" fillId="5" borderId="1" xfId="1" applyNumberFormat="1" applyFont="1" applyFill="1" applyBorder="1" applyAlignment="1">
      <alignment vertical="center"/>
    </xf>
    <xf numFmtId="164" fontId="10" fillId="0" borderId="1" xfId="1" applyNumberFormat="1" applyFont="1" applyBorder="1" applyAlignment="1">
      <alignment vertical="center"/>
    </xf>
    <xf numFmtId="168" fontId="4" fillId="0" borderId="1" xfId="4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8" fontId="3" fillId="0" borderId="1" xfId="4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164" fontId="14" fillId="2" borderId="4" xfId="1" applyNumberFormat="1" applyFont="1" applyFill="1" applyBorder="1" applyAlignment="1">
      <alignment horizontal="center" vertical="center"/>
    </xf>
    <xf numFmtId="164" fontId="15" fillId="2" borderId="4" xfId="1" applyNumberFormat="1" applyFont="1" applyFill="1" applyBorder="1"/>
    <xf numFmtId="164" fontId="15" fillId="9" borderId="4" xfId="1" applyNumberFormat="1" applyFont="1" applyFill="1" applyBorder="1"/>
    <xf numFmtId="164" fontId="15" fillId="0" borderId="4" xfId="1" applyNumberFormat="1" applyFont="1" applyBorder="1"/>
    <xf numFmtId="164" fontId="15" fillId="0" borderId="1" xfId="1" applyNumberFormat="1" applyFont="1" applyBorder="1"/>
    <xf numFmtId="164" fontId="16" fillId="7" borderId="1" xfId="1" applyNumberFormat="1" applyFont="1" applyFill="1" applyBorder="1"/>
    <xf numFmtId="164" fontId="15" fillId="2" borderId="1" xfId="1" applyNumberFormat="1" applyFont="1" applyFill="1" applyBorder="1"/>
    <xf numFmtId="164" fontId="14" fillId="2" borderId="1" xfId="1" applyNumberFormat="1" applyFont="1" applyFill="1" applyBorder="1" applyAlignment="1">
      <alignment horizontal="center" vertical="center"/>
    </xf>
    <xf numFmtId="164" fontId="14" fillId="9" borderId="1" xfId="1" applyNumberFormat="1" applyFont="1" applyFill="1" applyBorder="1" applyAlignment="1">
      <alignment horizontal="center" vertical="center"/>
    </xf>
    <xf numFmtId="164" fontId="15" fillId="9" borderId="1" xfId="1" applyNumberFormat="1" applyFont="1" applyFill="1" applyBorder="1"/>
    <xf numFmtId="41" fontId="15" fillId="9" borderId="0" xfId="0" applyNumberFormat="1" applyFont="1" applyFill="1"/>
    <xf numFmtId="14" fontId="3" fillId="8" borderId="1" xfId="0" applyNumberFormat="1" applyFont="1" applyFill="1" applyBorder="1" applyAlignment="1">
      <alignment horizontal="center" vertical="center"/>
    </xf>
    <xf numFmtId="9" fontId="6" fillId="0" borderId="1" xfId="3" applyFont="1" applyBorder="1"/>
    <xf numFmtId="164" fontId="6" fillId="0" borderId="1" xfId="0" applyNumberFormat="1" applyFont="1" applyBorder="1"/>
    <xf numFmtId="164" fontId="10" fillId="2" borderId="1" xfId="1" applyNumberFormat="1" applyFont="1" applyFill="1" applyBorder="1"/>
    <xf numFmtId="164" fontId="12" fillId="7" borderId="4" xfId="1" applyNumberFormat="1" applyFont="1" applyFill="1" applyBorder="1"/>
    <xf numFmtId="9" fontId="12" fillId="7" borderId="0" xfId="0" applyNumberFormat="1" applyFont="1" applyFill="1"/>
    <xf numFmtId="0" fontId="10" fillId="9" borderId="3" xfId="0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/>
    </xf>
    <xf numFmtId="168" fontId="17" fillId="0" borderId="1" xfId="4" applyNumberFormat="1" applyFont="1" applyFill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168" fontId="18" fillId="0" borderId="1" xfId="4" applyNumberFormat="1" applyFont="1" applyFill="1" applyBorder="1" applyAlignment="1">
      <alignment horizontal="center" vertical="center"/>
    </xf>
    <xf numFmtId="165" fontId="2" fillId="0" borderId="7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6" fontId="2" fillId="0" borderId="7" xfId="2" applyNumberFormat="1" applyFont="1" applyBorder="1" applyAlignment="1">
      <alignment horizontal="center"/>
    </xf>
    <xf numFmtId="166" fontId="2" fillId="0" borderId="0" xfId="2" applyNumberFormat="1" applyFont="1" applyBorder="1" applyAlignment="1">
      <alignment horizontal="center"/>
    </xf>
    <xf numFmtId="165" fontId="2" fillId="7" borderId="1" xfId="1" applyNumberFormat="1" applyFont="1" applyFill="1" applyBorder="1" applyAlignment="1">
      <alignment horizontal="center"/>
    </xf>
    <xf numFmtId="165" fontId="2" fillId="0" borderId="1" xfId="1" applyNumberFormat="1" applyFont="1" applyFill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164" fontId="10" fillId="0" borderId="1" xfId="1" applyNumberFormat="1" applyFont="1" applyBorder="1" applyAlignment="1">
      <alignment horizontal="center" vertical="center"/>
    </xf>
    <xf numFmtId="17" fontId="7" fillId="7" borderId="7" xfId="0" applyNumberFormat="1" applyFont="1" applyFill="1" applyBorder="1" applyAlignment="1">
      <alignment horizontal="center"/>
    </xf>
    <xf numFmtId="17" fontId="7" fillId="7" borderId="0" xfId="0" applyNumberFormat="1" applyFont="1" applyFill="1" applyAlignment="1">
      <alignment horizontal="center"/>
    </xf>
    <xf numFmtId="17" fontId="7" fillId="7" borderId="1" xfId="0" applyNumberFormat="1" applyFont="1" applyFill="1" applyBorder="1" applyAlignment="1">
      <alignment horizontal="center"/>
    </xf>
    <xf numFmtId="17" fontId="2" fillId="3" borderId="2" xfId="0" applyNumberFormat="1" applyFont="1" applyFill="1" applyBorder="1" applyAlignment="1">
      <alignment horizontal="center" vertical="center"/>
    </xf>
    <xf numFmtId="17" fontId="2" fillId="3" borderId="3" xfId="0" applyNumberFormat="1" applyFont="1" applyFill="1" applyBorder="1" applyAlignment="1">
      <alignment horizontal="center" vertical="center"/>
    </xf>
    <xf numFmtId="17" fontId="2" fillId="3" borderId="4" xfId="0" applyNumberFormat="1" applyFont="1" applyFill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64" fontId="5" fillId="0" borderId="2" xfId="1" applyNumberFormat="1" applyFont="1" applyFill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center" vertical="center"/>
    </xf>
    <xf numFmtId="164" fontId="5" fillId="0" borderId="4" xfId="1" applyNumberFormat="1" applyFont="1" applyFill="1" applyBorder="1" applyAlignment="1">
      <alignment horizontal="center" vertical="center"/>
    </xf>
    <xf numFmtId="164" fontId="5" fillId="5" borderId="2" xfId="1" applyNumberFormat="1" applyFont="1" applyFill="1" applyBorder="1" applyAlignment="1">
      <alignment horizontal="center" vertical="center"/>
    </xf>
    <xf numFmtId="164" fontId="5" fillId="5" borderId="3" xfId="1" applyNumberFormat="1" applyFont="1" applyFill="1" applyBorder="1" applyAlignment="1">
      <alignment horizontal="center" vertical="center"/>
    </xf>
    <xf numFmtId="164" fontId="5" fillId="5" borderId="4" xfId="1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9" fontId="6" fillId="0" borderId="1" xfId="3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4" fontId="10" fillId="0" borderId="2" xfId="1" applyNumberFormat="1" applyFont="1" applyBorder="1" applyAlignment="1">
      <alignment horizontal="center" vertical="center"/>
    </xf>
    <xf numFmtId="164" fontId="10" fillId="0" borderId="3" xfId="1" applyNumberFormat="1" applyFont="1" applyBorder="1" applyAlignment="1">
      <alignment horizontal="center" vertical="center"/>
    </xf>
    <xf numFmtId="164" fontId="10" fillId="0" borderId="4" xfId="1" applyNumberFormat="1" applyFont="1" applyBorder="1" applyAlignment="1">
      <alignment horizontal="center" vertical="center"/>
    </xf>
    <xf numFmtId="165" fontId="2" fillId="7" borderId="7" xfId="1" applyNumberFormat="1" applyFont="1" applyFill="1" applyBorder="1" applyAlignment="1">
      <alignment horizontal="center"/>
    </xf>
    <xf numFmtId="165" fontId="2" fillId="7" borderId="0" xfId="1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4" fontId="12" fillId="7" borderId="1" xfId="1" applyNumberFormat="1" applyFont="1" applyFill="1" applyBorder="1" applyAlignment="1">
      <alignment horizontal="center" vertical="center"/>
    </xf>
    <xf numFmtId="9" fontId="6" fillId="0" borderId="0" xfId="3" applyFont="1" applyAlignment="1">
      <alignment horizontal="center"/>
    </xf>
  </cellXfs>
  <cellStyles count="5">
    <cellStyle name="Comma" xfId="1" builtinId="3"/>
    <cellStyle name="Comma [0]" xfId="4" builtinId="6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95A9-E2EE-4945-9CFA-CA6C0FB14AE0}">
  <dimension ref="A1:AF80"/>
  <sheetViews>
    <sheetView tabSelected="1" topLeftCell="A63" zoomScale="73" zoomScaleNormal="87" workbookViewId="0">
      <selection activeCell="I71" sqref="I71"/>
    </sheetView>
  </sheetViews>
  <sheetFormatPr defaultRowHeight="14.5" x14ac:dyDescent="0.35"/>
  <cols>
    <col min="1" max="1" width="11.90625" customWidth="1"/>
    <col min="2" max="2" width="13" customWidth="1"/>
    <col min="3" max="3" width="14.26953125" customWidth="1"/>
    <col min="4" max="4" width="13.36328125" customWidth="1"/>
    <col min="5" max="5" width="13.08984375" customWidth="1"/>
    <col min="6" max="6" width="13.6328125" customWidth="1"/>
    <col min="7" max="7" width="13.26953125" customWidth="1"/>
    <col min="8" max="8" width="12.90625" customWidth="1"/>
    <col min="9" max="9" width="12.453125" customWidth="1"/>
    <col min="10" max="10" width="12.90625" customWidth="1"/>
    <col min="11" max="11" width="12.7265625" customWidth="1"/>
    <col min="12" max="12" width="11.7265625" customWidth="1"/>
    <col min="13" max="13" width="14" customWidth="1"/>
    <col min="16" max="16" width="12.26953125" customWidth="1"/>
    <col min="17" max="18" width="13.26953125" customWidth="1"/>
    <col min="19" max="19" width="12" customWidth="1"/>
    <col min="20" max="20" width="13.08984375" customWidth="1"/>
    <col min="21" max="21" width="12.1796875" customWidth="1"/>
    <col min="22" max="22" width="13.08984375" customWidth="1"/>
    <col min="23" max="23" width="12" customWidth="1"/>
    <col min="24" max="24" width="13.26953125" customWidth="1"/>
    <col min="25" max="25" width="12" customWidth="1"/>
    <col min="26" max="26" width="12.453125" customWidth="1"/>
    <col min="27" max="27" width="13.7265625" customWidth="1"/>
    <col min="28" max="28" width="13.08984375" customWidth="1"/>
    <col min="29" max="29" width="15.36328125" customWidth="1"/>
    <col min="30" max="30" width="12" customWidth="1"/>
    <col min="31" max="31" width="8.7265625" customWidth="1"/>
    <col min="32" max="32" width="13.08984375" customWidth="1"/>
  </cols>
  <sheetData>
    <row r="1" spans="1:32" x14ac:dyDescent="0.35">
      <c r="A1" s="108" t="s">
        <v>2</v>
      </c>
      <c r="B1" s="109" t="s">
        <v>1</v>
      </c>
      <c r="C1" s="109"/>
      <c r="D1" s="109"/>
      <c r="E1" s="109"/>
      <c r="F1" s="109"/>
      <c r="H1" s="108" t="s">
        <v>2</v>
      </c>
      <c r="I1" s="109" t="s">
        <v>1</v>
      </c>
      <c r="J1" s="109"/>
      <c r="K1" s="109"/>
      <c r="L1" s="109"/>
      <c r="M1" s="109"/>
      <c r="O1" s="116" t="s">
        <v>2</v>
      </c>
      <c r="P1" s="117" t="s">
        <v>1</v>
      </c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</row>
    <row r="2" spans="1:32" x14ac:dyDescent="0.35">
      <c r="A2" s="108"/>
      <c r="B2" s="3" t="s">
        <v>3</v>
      </c>
      <c r="C2" s="3" t="s">
        <v>4</v>
      </c>
      <c r="D2" s="3" t="s">
        <v>5</v>
      </c>
      <c r="E2" s="3" t="s">
        <v>6</v>
      </c>
      <c r="F2" s="3" t="s">
        <v>9</v>
      </c>
      <c r="H2" s="108"/>
      <c r="I2" s="3">
        <v>0</v>
      </c>
      <c r="J2" s="3">
        <v>1</v>
      </c>
      <c r="K2" s="3">
        <v>2</v>
      </c>
      <c r="L2" s="3">
        <v>3</v>
      </c>
      <c r="M2" s="3">
        <v>4</v>
      </c>
      <c r="O2" s="116"/>
      <c r="P2" s="5">
        <v>45292</v>
      </c>
      <c r="Q2" s="5">
        <v>45323</v>
      </c>
      <c r="R2" s="5">
        <v>45352</v>
      </c>
      <c r="S2" s="5">
        <v>45383</v>
      </c>
      <c r="T2" s="5">
        <v>45413</v>
      </c>
      <c r="U2" s="5">
        <v>45444</v>
      </c>
      <c r="V2" s="5">
        <v>45474</v>
      </c>
      <c r="W2" s="5">
        <v>45505</v>
      </c>
      <c r="X2" s="5">
        <v>45536</v>
      </c>
      <c r="Y2" s="5">
        <v>45566</v>
      </c>
      <c r="Z2" s="5">
        <v>45597</v>
      </c>
      <c r="AA2" s="5">
        <v>45627</v>
      </c>
      <c r="AB2" s="5">
        <v>45658</v>
      </c>
      <c r="AC2" s="5">
        <v>45689</v>
      </c>
      <c r="AD2" s="5">
        <v>45717</v>
      </c>
      <c r="AE2" s="22">
        <v>45748</v>
      </c>
      <c r="AF2" s="22">
        <v>45778</v>
      </c>
    </row>
    <row r="3" spans="1:32" x14ac:dyDescent="0.35">
      <c r="A3" s="102" t="s">
        <v>3</v>
      </c>
      <c r="B3" s="110">
        <v>12671786</v>
      </c>
      <c r="C3" s="113">
        <v>25687872</v>
      </c>
      <c r="D3" s="113"/>
      <c r="E3" s="113"/>
      <c r="F3" s="113"/>
      <c r="H3" s="102" t="s">
        <v>3</v>
      </c>
      <c r="I3" s="110">
        <f>SUM(P3:R5)</f>
        <v>55621789</v>
      </c>
      <c r="J3" s="113">
        <f>SUM(S3:U5)</f>
        <v>25687872</v>
      </c>
      <c r="K3" s="113">
        <f>SUM(V3:X5)</f>
        <v>122500000</v>
      </c>
      <c r="L3" s="113">
        <f>SUM(Y3:AA5)</f>
        <v>0</v>
      </c>
      <c r="M3" s="113">
        <f>SUM(AB3:AD5)</f>
        <v>0</v>
      </c>
      <c r="O3" s="4">
        <v>45292</v>
      </c>
      <c r="P3" s="24">
        <v>5000000</v>
      </c>
      <c r="Q3" s="24">
        <v>7137616</v>
      </c>
      <c r="R3" s="25"/>
      <c r="S3" s="28"/>
      <c r="T3" s="28"/>
      <c r="U3" s="28"/>
      <c r="V3" s="48">
        <v>122500000</v>
      </c>
      <c r="W3" s="48"/>
      <c r="X3" s="48"/>
      <c r="Y3" s="19"/>
      <c r="Z3" s="19"/>
      <c r="AA3" s="19"/>
      <c r="AB3" s="14"/>
      <c r="AC3" s="14"/>
      <c r="AD3" s="14"/>
      <c r="AE3" s="21"/>
      <c r="AF3" s="21"/>
    </row>
    <row r="4" spans="1:32" x14ac:dyDescent="0.35">
      <c r="A4" s="103"/>
      <c r="B4" s="111"/>
      <c r="C4" s="114"/>
      <c r="D4" s="114"/>
      <c r="E4" s="114"/>
      <c r="F4" s="114"/>
      <c r="H4" s="103"/>
      <c r="I4" s="111"/>
      <c r="J4" s="114"/>
      <c r="K4" s="114"/>
      <c r="L4" s="114"/>
      <c r="M4" s="114"/>
      <c r="O4" s="4">
        <v>45323</v>
      </c>
      <c r="P4" s="26"/>
      <c r="Q4" s="26">
        <v>42950003</v>
      </c>
      <c r="R4" s="27">
        <v>534170</v>
      </c>
      <c r="S4" s="29">
        <v>9928518</v>
      </c>
      <c r="T4" s="29">
        <v>1180575</v>
      </c>
      <c r="U4" s="30"/>
      <c r="V4" s="47"/>
      <c r="W4" s="47"/>
      <c r="X4" s="47"/>
      <c r="Y4" s="14"/>
      <c r="Z4" s="14"/>
      <c r="AA4" s="14"/>
      <c r="AB4" s="14"/>
      <c r="AC4" s="14"/>
      <c r="AD4" s="14"/>
      <c r="AE4" s="21"/>
      <c r="AF4" s="21"/>
    </row>
    <row r="5" spans="1:32" x14ac:dyDescent="0.35">
      <c r="A5" s="104"/>
      <c r="B5" s="112"/>
      <c r="C5" s="115"/>
      <c r="D5" s="115"/>
      <c r="E5" s="115"/>
      <c r="F5" s="115"/>
      <c r="H5" s="104"/>
      <c r="I5" s="112"/>
      <c r="J5" s="115"/>
      <c r="K5" s="115"/>
      <c r="L5" s="115"/>
      <c r="M5" s="115"/>
      <c r="O5" s="4">
        <v>45352</v>
      </c>
      <c r="P5" s="26"/>
      <c r="Q5" s="26"/>
      <c r="R5" s="26"/>
      <c r="S5" s="29">
        <v>13331739</v>
      </c>
      <c r="T5" s="30">
        <v>1247040</v>
      </c>
      <c r="U5" s="30"/>
      <c r="V5" s="47"/>
      <c r="W5" s="47"/>
      <c r="X5" s="47"/>
      <c r="Y5" s="14"/>
      <c r="Z5" s="14"/>
      <c r="AA5" s="14"/>
      <c r="AB5" s="14"/>
      <c r="AC5" s="14"/>
      <c r="AD5" s="14"/>
      <c r="AE5" s="21"/>
      <c r="AF5" s="21"/>
    </row>
    <row r="6" spans="1:32" x14ac:dyDescent="0.35">
      <c r="A6" s="102" t="s">
        <v>4</v>
      </c>
      <c r="B6" s="105"/>
      <c r="C6" s="105">
        <v>34360119</v>
      </c>
      <c r="D6" s="105">
        <v>51628137</v>
      </c>
      <c r="E6" s="105"/>
      <c r="F6" s="105">
        <v>1863750</v>
      </c>
      <c r="H6" s="102" t="s">
        <v>4</v>
      </c>
      <c r="I6" s="105">
        <f>SUM(S6:U8)</f>
        <v>34360119</v>
      </c>
      <c r="J6" s="105">
        <f>SUM(V6:X8)</f>
        <v>51628137</v>
      </c>
      <c r="K6" s="105"/>
      <c r="L6" s="105">
        <f>SUM(AB6:AD8)</f>
        <v>5113750</v>
      </c>
      <c r="M6" s="105"/>
      <c r="O6" s="13">
        <v>45383</v>
      </c>
      <c r="P6" s="14"/>
      <c r="Q6" s="14"/>
      <c r="R6" s="14"/>
      <c r="S6" s="26">
        <v>6700000</v>
      </c>
      <c r="T6" s="27">
        <v>15597640</v>
      </c>
      <c r="U6" s="26">
        <v>10189219</v>
      </c>
      <c r="V6" s="30"/>
      <c r="W6" s="30"/>
      <c r="X6" s="30"/>
      <c r="Y6" s="47"/>
      <c r="Z6" s="47"/>
      <c r="AA6" s="47"/>
      <c r="AB6" s="30"/>
      <c r="AC6" s="30"/>
      <c r="AD6" s="30"/>
      <c r="AE6" s="21"/>
      <c r="AF6" s="21"/>
    </row>
    <row r="7" spans="1:32" x14ac:dyDescent="0.35">
      <c r="A7" s="103"/>
      <c r="B7" s="106"/>
      <c r="C7" s="106"/>
      <c r="D7" s="106"/>
      <c r="E7" s="106"/>
      <c r="F7" s="106"/>
      <c r="H7" s="103"/>
      <c r="I7" s="106"/>
      <c r="J7" s="106"/>
      <c r="K7" s="106"/>
      <c r="L7" s="106"/>
      <c r="M7" s="106"/>
      <c r="O7" s="13">
        <v>45413</v>
      </c>
      <c r="P7" s="14"/>
      <c r="Q7" s="14"/>
      <c r="R7" s="14"/>
      <c r="S7" s="26"/>
      <c r="T7" s="26"/>
      <c r="U7" s="26">
        <v>1873260</v>
      </c>
      <c r="V7" s="30">
        <v>35669029</v>
      </c>
      <c r="W7" s="30"/>
      <c r="X7" s="30"/>
      <c r="Y7" s="47"/>
      <c r="Z7" s="47"/>
      <c r="AA7" s="47"/>
      <c r="AB7" s="30">
        <v>3250000</v>
      </c>
      <c r="AC7" s="30"/>
      <c r="AD7" s="30"/>
      <c r="AE7" s="21"/>
      <c r="AF7" s="21"/>
    </row>
    <row r="8" spans="1:32" x14ac:dyDescent="0.35">
      <c r="A8" s="104"/>
      <c r="B8" s="107"/>
      <c r="C8" s="107"/>
      <c r="D8" s="107"/>
      <c r="E8" s="107"/>
      <c r="F8" s="107"/>
      <c r="H8" s="104"/>
      <c r="I8" s="107"/>
      <c r="J8" s="107"/>
      <c r="K8" s="107"/>
      <c r="L8" s="107"/>
      <c r="M8" s="107"/>
      <c r="O8" s="13">
        <v>45444</v>
      </c>
      <c r="P8" s="14"/>
      <c r="Q8" s="14"/>
      <c r="R8" s="14"/>
      <c r="S8" s="26"/>
      <c r="T8" s="26"/>
      <c r="U8" s="26"/>
      <c r="V8" s="30">
        <v>4500000</v>
      </c>
      <c r="W8" s="30">
        <v>11459108</v>
      </c>
      <c r="X8" s="30"/>
      <c r="Y8" s="47"/>
      <c r="Z8" s="47"/>
      <c r="AA8" s="47"/>
      <c r="AB8" s="30"/>
      <c r="AC8" s="30"/>
      <c r="AD8" s="31">
        <v>1863750</v>
      </c>
      <c r="AE8" s="21"/>
      <c r="AF8" s="21"/>
    </row>
    <row r="9" spans="1:32" x14ac:dyDescent="0.35">
      <c r="A9" s="102" t="s">
        <v>5</v>
      </c>
      <c r="B9" s="105"/>
      <c r="C9" s="105"/>
      <c r="D9" s="105">
        <v>68364913</v>
      </c>
      <c r="E9" s="105">
        <v>76032545</v>
      </c>
      <c r="F9" s="105"/>
      <c r="H9" s="102" t="s">
        <v>5</v>
      </c>
      <c r="I9" s="105">
        <f>SUM(V9:X11)</f>
        <v>68364913</v>
      </c>
      <c r="J9" s="105">
        <f>SUM(Y9:AA11)</f>
        <v>76032545</v>
      </c>
      <c r="K9" s="105">
        <f>SUM(AB9:AD11)</f>
        <v>0</v>
      </c>
      <c r="L9" s="105"/>
      <c r="M9" s="105"/>
      <c r="O9" s="4">
        <v>45474</v>
      </c>
      <c r="P9" s="14"/>
      <c r="Q9" s="14"/>
      <c r="R9" s="14"/>
      <c r="S9" s="14"/>
      <c r="T9" s="14"/>
      <c r="U9" s="14"/>
      <c r="V9" s="26">
        <v>934638</v>
      </c>
      <c r="W9" s="26">
        <v>17460200</v>
      </c>
      <c r="X9" s="26">
        <v>37281107</v>
      </c>
      <c r="Y9" s="30"/>
      <c r="Z9" s="30"/>
      <c r="AA9" s="30"/>
      <c r="AB9" s="47"/>
      <c r="AC9" s="47"/>
      <c r="AD9" s="47"/>
      <c r="AE9" s="21"/>
      <c r="AF9" s="21"/>
    </row>
    <row r="10" spans="1:32" x14ac:dyDescent="0.35">
      <c r="A10" s="103"/>
      <c r="B10" s="106"/>
      <c r="C10" s="106"/>
      <c r="D10" s="106"/>
      <c r="E10" s="106"/>
      <c r="F10" s="106"/>
      <c r="H10" s="103"/>
      <c r="I10" s="106"/>
      <c r="J10" s="106"/>
      <c r="K10" s="106"/>
      <c r="L10" s="106"/>
      <c r="M10" s="106"/>
      <c r="O10" s="4">
        <v>45505</v>
      </c>
      <c r="P10" s="14"/>
      <c r="Q10" s="14"/>
      <c r="R10" s="14"/>
      <c r="S10" s="14"/>
      <c r="T10" s="14"/>
      <c r="U10" s="14"/>
      <c r="V10" s="26"/>
      <c r="W10" s="26">
        <v>728790</v>
      </c>
      <c r="X10" s="26">
        <v>11960178</v>
      </c>
      <c r="Y10" s="30">
        <v>29390042</v>
      </c>
      <c r="Z10" s="30"/>
      <c r="AA10" s="30"/>
      <c r="AB10" s="47"/>
      <c r="AC10" s="47"/>
      <c r="AD10" s="47"/>
      <c r="AE10" s="21"/>
      <c r="AF10" s="21"/>
    </row>
    <row r="11" spans="1:32" x14ac:dyDescent="0.35">
      <c r="A11" s="104"/>
      <c r="B11" s="107"/>
      <c r="C11" s="107"/>
      <c r="D11" s="107"/>
      <c r="E11" s="107"/>
      <c r="F11" s="107"/>
      <c r="H11" s="104"/>
      <c r="I11" s="107"/>
      <c r="J11" s="107"/>
      <c r="K11" s="107"/>
      <c r="L11" s="107"/>
      <c r="M11" s="107"/>
      <c r="O11" s="4">
        <v>45536</v>
      </c>
      <c r="P11" s="14"/>
      <c r="Q11" s="14"/>
      <c r="R11" s="14"/>
      <c r="S11" s="14"/>
      <c r="T11" s="14"/>
      <c r="U11" s="14"/>
      <c r="V11" s="26"/>
      <c r="W11" s="26"/>
      <c r="X11" s="26"/>
      <c r="Y11" s="30">
        <v>22214203</v>
      </c>
      <c r="Z11" s="30">
        <v>24428300</v>
      </c>
      <c r="AA11" s="30"/>
      <c r="AB11" s="47"/>
      <c r="AC11" s="47"/>
      <c r="AD11" s="47"/>
      <c r="AE11" s="21"/>
      <c r="AF11" s="21"/>
    </row>
    <row r="12" spans="1:32" x14ac:dyDescent="0.35">
      <c r="A12" s="102" t="s">
        <v>6</v>
      </c>
      <c r="B12" s="105"/>
      <c r="C12" s="105"/>
      <c r="D12" s="105"/>
      <c r="E12" s="105">
        <v>31632258</v>
      </c>
      <c r="F12" s="105">
        <v>229597206</v>
      </c>
      <c r="H12" s="102" t="s">
        <v>6</v>
      </c>
      <c r="I12" s="105">
        <f>SUM(Y12:AA14)</f>
        <v>31632258</v>
      </c>
      <c r="J12" s="105">
        <f>SUM(AB12:AD14)</f>
        <v>229597206</v>
      </c>
      <c r="K12" s="105"/>
      <c r="L12" s="105"/>
      <c r="M12" s="105"/>
      <c r="O12" s="13">
        <v>45566</v>
      </c>
      <c r="P12" s="14"/>
      <c r="Q12" s="14"/>
      <c r="R12" s="14"/>
      <c r="S12" s="14"/>
      <c r="T12" s="14"/>
      <c r="U12" s="14"/>
      <c r="V12" s="14"/>
      <c r="W12" s="14"/>
      <c r="X12" s="14"/>
      <c r="Y12" s="26">
        <v>3647000</v>
      </c>
      <c r="Z12" s="26">
        <v>19419733</v>
      </c>
      <c r="AA12" s="26">
        <v>8417325</v>
      </c>
      <c r="AB12" s="30"/>
      <c r="AC12" s="30"/>
      <c r="AD12" s="30">
        <v>82089722</v>
      </c>
      <c r="AE12" s="21"/>
      <c r="AF12" s="21"/>
    </row>
    <row r="13" spans="1:32" x14ac:dyDescent="0.35">
      <c r="A13" s="103"/>
      <c r="B13" s="106"/>
      <c r="C13" s="106"/>
      <c r="D13" s="106"/>
      <c r="E13" s="106"/>
      <c r="F13" s="106"/>
      <c r="H13" s="103"/>
      <c r="I13" s="106"/>
      <c r="J13" s="106"/>
      <c r="K13" s="106"/>
      <c r="L13" s="106"/>
      <c r="M13" s="106"/>
      <c r="O13" s="13">
        <v>45597</v>
      </c>
      <c r="P13" s="14"/>
      <c r="Q13" s="14"/>
      <c r="R13" s="14"/>
      <c r="S13" s="14"/>
      <c r="T13" s="14"/>
      <c r="U13" s="14"/>
      <c r="V13" s="14"/>
      <c r="W13" s="14"/>
      <c r="X13" s="14"/>
      <c r="Y13" s="26"/>
      <c r="Z13" s="26">
        <v>148200</v>
      </c>
      <c r="AA13" s="26"/>
      <c r="AB13" s="30">
        <v>15450530</v>
      </c>
      <c r="AC13" s="30">
        <v>101423278</v>
      </c>
      <c r="AD13" s="30">
        <v>3399750</v>
      </c>
      <c r="AE13" s="21"/>
      <c r="AF13" s="21">
        <v>35280392</v>
      </c>
    </row>
    <row r="14" spans="1:32" x14ac:dyDescent="0.35">
      <c r="A14" s="104"/>
      <c r="B14" s="107"/>
      <c r="C14" s="107"/>
      <c r="D14" s="107"/>
      <c r="E14" s="107"/>
      <c r="F14" s="107"/>
      <c r="H14" s="104"/>
      <c r="I14" s="107"/>
      <c r="J14" s="107"/>
      <c r="K14" s="107"/>
      <c r="L14" s="107"/>
      <c r="M14" s="107"/>
      <c r="O14" s="13">
        <v>45627</v>
      </c>
      <c r="P14" s="14"/>
      <c r="Q14" s="14"/>
      <c r="R14" s="14"/>
      <c r="S14" s="14"/>
      <c r="T14" s="14"/>
      <c r="U14" s="14"/>
      <c r="V14" s="14"/>
      <c r="W14" s="14"/>
      <c r="X14" s="14"/>
      <c r="Y14" s="26"/>
      <c r="Z14" s="26"/>
      <c r="AA14" s="26"/>
      <c r="AB14" s="30">
        <v>18033926</v>
      </c>
      <c r="AC14" s="30">
        <v>9200000</v>
      </c>
      <c r="AD14" s="30"/>
      <c r="AE14" s="21"/>
      <c r="AF14" s="21"/>
    </row>
    <row r="15" spans="1:32" x14ac:dyDescent="0.35">
      <c r="A15" s="102" t="s">
        <v>9</v>
      </c>
      <c r="B15" s="105"/>
      <c r="C15" s="105"/>
      <c r="D15" s="105"/>
      <c r="E15" s="105"/>
      <c r="F15" s="105">
        <v>59154274</v>
      </c>
      <c r="H15" s="102" t="s">
        <v>9</v>
      </c>
      <c r="I15" s="105">
        <f>SUM(AB15:AD17)</f>
        <v>61154274</v>
      </c>
      <c r="J15" s="105"/>
      <c r="K15" s="105"/>
      <c r="L15" s="105"/>
      <c r="M15" s="105"/>
      <c r="O15" s="18">
        <v>45658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26">
        <v>3232650</v>
      </c>
      <c r="AC15" s="26">
        <v>11256457</v>
      </c>
      <c r="AD15" s="26">
        <v>12244835</v>
      </c>
      <c r="AE15" s="21"/>
      <c r="AF15" s="21"/>
    </row>
    <row r="16" spans="1:32" x14ac:dyDescent="0.35">
      <c r="A16" s="103"/>
      <c r="B16" s="106"/>
      <c r="C16" s="106"/>
      <c r="D16" s="106"/>
      <c r="E16" s="106"/>
      <c r="F16" s="106"/>
      <c r="H16" s="103"/>
      <c r="I16" s="106"/>
      <c r="J16" s="106"/>
      <c r="K16" s="106"/>
      <c r="L16" s="106"/>
      <c r="M16" s="106"/>
      <c r="O16" s="18">
        <v>45689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56"/>
      <c r="AC16" s="56">
        <v>21564532</v>
      </c>
      <c r="AD16" s="62">
        <v>5514575</v>
      </c>
      <c r="AE16" s="21"/>
      <c r="AF16" s="21"/>
    </row>
    <row r="17" spans="1:32" x14ac:dyDescent="0.35">
      <c r="A17" s="104"/>
      <c r="B17" s="107"/>
      <c r="C17" s="107"/>
      <c r="D17" s="107"/>
      <c r="E17" s="107"/>
      <c r="F17" s="107"/>
      <c r="H17" s="104"/>
      <c r="I17" s="107"/>
      <c r="J17" s="107"/>
      <c r="K17" s="107"/>
      <c r="L17" s="107"/>
      <c r="M17" s="107"/>
      <c r="O17" s="18">
        <v>45717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26"/>
      <c r="AC17" s="26"/>
      <c r="AD17" s="26">
        <v>7341225</v>
      </c>
      <c r="AE17" s="21"/>
      <c r="AF17" s="21">
        <v>28267915</v>
      </c>
    </row>
    <row r="18" spans="1:32" x14ac:dyDescent="0.35">
      <c r="O18" s="20">
        <v>45748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>
        <v>42950003</v>
      </c>
    </row>
    <row r="19" spans="1:32" x14ac:dyDescent="0.35">
      <c r="A19" s="1" t="s">
        <v>10</v>
      </c>
      <c r="O19" s="20">
        <v>45778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spans="1:32" x14ac:dyDescent="0.35">
      <c r="A20" s="108" t="s">
        <v>2</v>
      </c>
      <c r="B20" s="109" t="s">
        <v>1</v>
      </c>
      <c r="C20" s="109"/>
      <c r="D20" s="109"/>
      <c r="E20" s="109"/>
      <c r="F20" s="109"/>
    </row>
    <row r="21" spans="1:32" x14ac:dyDescent="0.35">
      <c r="A21" s="108"/>
      <c r="B21" s="3">
        <v>0</v>
      </c>
      <c r="C21" s="3">
        <v>1</v>
      </c>
      <c r="D21" s="3">
        <v>2</v>
      </c>
      <c r="E21" s="3">
        <v>3</v>
      </c>
      <c r="F21" s="3">
        <v>4</v>
      </c>
    </row>
    <row r="22" spans="1:32" x14ac:dyDescent="0.35">
      <c r="A22" s="102" t="s">
        <v>3</v>
      </c>
      <c r="B22" s="110">
        <f>I3</f>
        <v>55621789</v>
      </c>
      <c r="C22" s="113">
        <f>I3+J3</f>
        <v>81309661</v>
      </c>
      <c r="D22" s="113">
        <f>I3+J3+K3</f>
        <v>203809661</v>
      </c>
      <c r="E22" s="113">
        <f>I3+J3+K3+L3</f>
        <v>203809661</v>
      </c>
      <c r="F22" s="113">
        <f>I3+J3+K3+L3+M3</f>
        <v>203809661</v>
      </c>
    </row>
    <row r="23" spans="1:32" x14ac:dyDescent="0.35">
      <c r="A23" s="103"/>
      <c r="B23" s="111"/>
      <c r="C23" s="114"/>
      <c r="D23" s="114"/>
      <c r="E23" s="114"/>
      <c r="F23" s="114"/>
    </row>
    <row r="24" spans="1:32" x14ac:dyDescent="0.35">
      <c r="A24" s="104"/>
      <c r="B24" s="112"/>
      <c r="C24" s="115"/>
      <c r="D24" s="115"/>
      <c r="E24" s="115"/>
      <c r="F24" s="115"/>
    </row>
    <row r="25" spans="1:32" x14ac:dyDescent="0.35">
      <c r="A25" s="102" t="s">
        <v>4</v>
      </c>
      <c r="B25" s="105">
        <f>I6</f>
        <v>34360119</v>
      </c>
      <c r="C25" s="105">
        <f>I6+J6</f>
        <v>85988256</v>
      </c>
      <c r="D25" s="105">
        <f>I6+J6+K6</f>
        <v>85988256</v>
      </c>
      <c r="E25" s="105">
        <f>I6+J6+K6+L6</f>
        <v>91102006</v>
      </c>
      <c r="F25" s="105"/>
    </row>
    <row r="26" spans="1:32" x14ac:dyDescent="0.35">
      <c r="A26" s="103"/>
      <c r="B26" s="106"/>
      <c r="C26" s="106"/>
      <c r="D26" s="106"/>
      <c r="E26" s="106"/>
      <c r="F26" s="106"/>
    </row>
    <row r="27" spans="1:32" x14ac:dyDescent="0.35">
      <c r="A27" s="104"/>
      <c r="B27" s="107"/>
      <c r="C27" s="107"/>
      <c r="D27" s="107"/>
      <c r="E27" s="107"/>
      <c r="F27" s="107"/>
    </row>
    <row r="28" spans="1:32" x14ac:dyDescent="0.35">
      <c r="A28" s="102" t="s">
        <v>5</v>
      </c>
      <c r="B28" s="105">
        <f>I9</f>
        <v>68364913</v>
      </c>
      <c r="C28" s="105">
        <f>I9+J9</f>
        <v>144397458</v>
      </c>
      <c r="D28" s="105">
        <f>I9+J9+K9</f>
        <v>144397458</v>
      </c>
      <c r="E28" s="105"/>
      <c r="F28" s="105"/>
    </row>
    <row r="29" spans="1:32" x14ac:dyDescent="0.35">
      <c r="A29" s="103"/>
      <c r="B29" s="106"/>
      <c r="C29" s="106"/>
      <c r="D29" s="106"/>
      <c r="E29" s="106"/>
      <c r="F29" s="106"/>
    </row>
    <row r="30" spans="1:32" x14ac:dyDescent="0.35">
      <c r="A30" s="104"/>
      <c r="B30" s="107"/>
      <c r="C30" s="107"/>
      <c r="D30" s="107"/>
      <c r="E30" s="107"/>
      <c r="F30" s="107"/>
    </row>
    <row r="31" spans="1:32" x14ac:dyDescent="0.35">
      <c r="A31" s="102" t="s">
        <v>6</v>
      </c>
      <c r="B31" s="105">
        <f>I12</f>
        <v>31632258</v>
      </c>
      <c r="C31" s="105">
        <f>I12+J12</f>
        <v>261229464</v>
      </c>
      <c r="D31" s="105"/>
      <c r="E31" s="105"/>
      <c r="F31" s="105"/>
    </row>
    <row r="32" spans="1:32" x14ac:dyDescent="0.35">
      <c r="A32" s="103"/>
      <c r="B32" s="106"/>
      <c r="C32" s="106"/>
      <c r="D32" s="106"/>
      <c r="E32" s="106"/>
      <c r="F32" s="106"/>
    </row>
    <row r="33" spans="1:6" x14ac:dyDescent="0.35">
      <c r="A33" s="104"/>
      <c r="B33" s="107"/>
      <c r="C33" s="107"/>
      <c r="D33" s="107"/>
      <c r="E33" s="107"/>
      <c r="F33" s="107"/>
    </row>
    <row r="34" spans="1:6" x14ac:dyDescent="0.35">
      <c r="A34" s="102" t="s">
        <v>9</v>
      </c>
      <c r="B34" s="105">
        <f>I15</f>
        <v>61154274</v>
      </c>
      <c r="C34" s="105"/>
      <c r="D34" s="105"/>
      <c r="E34" s="105"/>
      <c r="F34" s="105"/>
    </row>
    <row r="35" spans="1:6" x14ac:dyDescent="0.35">
      <c r="A35" s="103"/>
      <c r="B35" s="106"/>
      <c r="C35" s="106"/>
      <c r="D35" s="106"/>
      <c r="E35" s="106"/>
      <c r="F35" s="106"/>
    </row>
    <row r="36" spans="1:6" x14ac:dyDescent="0.35">
      <c r="A36" s="104"/>
      <c r="B36" s="107"/>
      <c r="C36" s="107"/>
      <c r="D36" s="107"/>
      <c r="E36" s="107"/>
      <c r="F36" s="107"/>
    </row>
    <row r="38" spans="1:6" s="39" customFormat="1" ht="29" x14ac:dyDescent="0.35">
      <c r="A38" s="41"/>
      <c r="B38" s="42" t="s">
        <v>11</v>
      </c>
      <c r="C38" s="42" t="s">
        <v>17</v>
      </c>
    </row>
    <row r="39" spans="1:6" x14ac:dyDescent="0.35">
      <c r="A39" s="33" t="s">
        <v>12</v>
      </c>
      <c r="B39" s="33">
        <f>(C22+C25+C28+C31)/(B31+B28+B25+B22)</f>
        <v>3.0157259526455542</v>
      </c>
      <c r="C39" s="32">
        <f>B39*B40*B41*B43</f>
        <v>4.2750716988252364</v>
      </c>
    </row>
    <row r="40" spans="1:6" x14ac:dyDescent="0.35">
      <c r="A40" s="34" t="s">
        <v>13</v>
      </c>
      <c r="B40" s="33">
        <f>(D22+D25+D28)/(C28+C25+C22)</f>
        <v>1.3930119271099226</v>
      </c>
      <c r="C40" s="32">
        <f>B40*B41*B43</f>
        <v>1.4175929000030381</v>
      </c>
    </row>
    <row r="41" spans="1:6" x14ac:dyDescent="0.35">
      <c r="A41" s="34" t="s">
        <v>14</v>
      </c>
      <c r="B41" s="33">
        <f>(E22+E25)/(D25+D22)</f>
        <v>1.0176459170339722</v>
      </c>
      <c r="C41" s="32">
        <f>B41*B43</f>
        <v>1.0176459170339722</v>
      </c>
    </row>
    <row r="42" spans="1:6" x14ac:dyDescent="0.35">
      <c r="A42" s="35" t="s">
        <v>15</v>
      </c>
      <c r="B42" s="36">
        <v>1</v>
      </c>
      <c r="C42" s="32">
        <v>1</v>
      </c>
    </row>
    <row r="43" spans="1:6" x14ac:dyDescent="0.35">
      <c r="A43" s="35" t="s">
        <v>16</v>
      </c>
      <c r="B43" s="36">
        <f>F22/E22</f>
        <v>1</v>
      </c>
      <c r="C43" s="32">
        <f>B43</f>
        <v>1</v>
      </c>
    </row>
    <row r="44" spans="1:6" x14ac:dyDescent="0.35">
      <c r="A44" s="37"/>
      <c r="B44" s="38"/>
    </row>
    <row r="45" spans="1:6" ht="14.5" customHeight="1" x14ac:dyDescent="0.35">
      <c r="A45" s="97" t="s">
        <v>18</v>
      </c>
      <c r="B45" s="97"/>
      <c r="C45" s="97"/>
      <c r="D45" s="97"/>
      <c r="E45" s="97"/>
      <c r="F45" s="97"/>
    </row>
    <row r="46" spans="1:6" x14ac:dyDescent="0.35">
      <c r="A46" s="97"/>
      <c r="B46" s="97"/>
      <c r="C46" s="97"/>
      <c r="D46" s="97"/>
      <c r="E46" s="97"/>
      <c r="F46" s="97"/>
    </row>
    <row r="47" spans="1:6" s="39" customFormat="1" ht="28" x14ac:dyDescent="0.35">
      <c r="A47" s="49" t="s">
        <v>19</v>
      </c>
      <c r="B47" s="49" t="s">
        <v>20</v>
      </c>
      <c r="C47" s="49" t="s">
        <v>21</v>
      </c>
      <c r="D47" s="49" t="s">
        <v>22</v>
      </c>
    </row>
    <row r="48" spans="1:6" x14ac:dyDescent="0.35">
      <c r="A48" s="32">
        <v>1</v>
      </c>
      <c r="B48" s="32">
        <f>C43</f>
        <v>1</v>
      </c>
      <c r="C48" s="32">
        <f>1-(1/B48)</f>
        <v>0</v>
      </c>
      <c r="D48" s="44">
        <f>C48</f>
        <v>0</v>
      </c>
    </row>
    <row r="49" spans="1:9" x14ac:dyDescent="0.35">
      <c r="A49" s="32">
        <v>2</v>
      </c>
      <c r="B49" s="32">
        <f>C42</f>
        <v>1</v>
      </c>
      <c r="C49" s="32">
        <f t="shared" ref="C49:C52" si="0">1-(1/B49)</f>
        <v>0</v>
      </c>
      <c r="D49" s="44">
        <f t="shared" ref="D49:D52" si="1">C49</f>
        <v>0</v>
      </c>
    </row>
    <row r="50" spans="1:9" x14ac:dyDescent="0.35">
      <c r="A50" s="32">
        <v>3</v>
      </c>
      <c r="B50" s="32">
        <f>C41</f>
        <v>1.0176459170339722</v>
      </c>
      <c r="C50" s="32">
        <f t="shared" si="0"/>
        <v>1.7339937927921878E-2</v>
      </c>
      <c r="D50" s="44">
        <f t="shared" si="1"/>
        <v>1.7339937927921878E-2</v>
      </c>
    </row>
    <row r="51" spans="1:9" x14ac:dyDescent="0.35">
      <c r="A51" s="32">
        <v>4</v>
      </c>
      <c r="B51" s="32">
        <f>C40</f>
        <v>1.4175929000030381</v>
      </c>
      <c r="C51" s="32">
        <f t="shared" si="0"/>
        <v>0.29457885970093611</v>
      </c>
      <c r="D51" s="44">
        <f t="shared" si="1"/>
        <v>0.29457885970093611</v>
      </c>
    </row>
    <row r="52" spans="1:9" x14ac:dyDescent="0.35">
      <c r="A52" s="32">
        <v>5</v>
      </c>
      <c r="B52" s="32">
        <f>C39</f>
        <v>4.2750716988252364</v>
      </c>
      <c r="C52" s="32">
        <f t="shared" si="0"/>
        <v>0.76608579447339009</v>
      </c>
      <c r="D52" s="44">
        <f t="shared" si="1"/>
        <v>0.76608579447339009</v>
      </c>
    </row>
    <row r="54" spans="1:9" x14ac:dyDescent="0.35">
      <c r="A54" s="1" t="s">
        <v>23</v>
      </c>
    </row>
    <row r="55" spans="1:9" ht="42" x14ac:dyDescent="0.35">
      <c r="A55" s="49" t="s">
        <v>19</v>
      </c>
      <c r="B55" s="49" t="s">
        <v>24</v>
      </c>
      <c r="C55" s="49" t="s">
        <v>26</v>
      </c>
      <c r="D55" s="49" t="s">
        <v>25</v>
      </c>
      <c r="E55" s="49" t="s">
        <v>28</v>
      </c>
      <c r="F55" s="49" t="s">
        <v>29</v>
      </c>
      <c r="G55" s="49" t="s">
        <v>32</v>
      </c>
      <c r="H55" s="49" t="s">
        <v>33</v>
      </c>
      <c r="I55" s="59" t="s">
        <v>43</v>
      </c>
    </row>
    <row r="56" spans="1:9" x14ac:dyDescent="0.35">
      <c r="A56" s="32">
        <v>1</v>
      </c>
      <c r="B56" s="45">
        <f>F22</f>
        <v>203809661</v>
      </c>
      <c r="C56" s="46">
        <f>SUM(B69:C71)</f>
        <v>542839141.38</v>
      </c>
      <c r="D56" s="44">
        <f>B56/C56</f>
        <v>0.3754512994068136</v>
      </c>
      <c r="E56" s="44">
        <f>(SUM(D56:D60)/5)</f>
        <v>0.36395163278739501</v>
      </c>
      <c r="F56" s="46">
        <f>E56*C56</f>
        <v>197567191.84615856</v>
      </c>
      <c r="G56" s="46">
        <f>F56*D48</f>
        <v>0</v>
      </c>
      <c r="H56" s="98">
        <f>SUM(G56:G60)</f>
        <v>140620504.76898047</v>
      </c>
      <c r="I56" s="44">
        <f>ABS(B56-F56)/B56</f>
        <v>3.0628916819803925E-2</v>
      </c>
    </row>
    <row r="57" spans="1:9" x14ac:dyDescent="0.35">
      <c r="A57" s="32">
        <v>2</v>
      </c>
      <c r="B57" s="45">
        <f>E25</f>
        <v>91102006</v>
      </c>
      <c r="C57" s="46">
        <f>SUM(B72:C74)</f>
        <v>196338877.61000001</v>
      </c>
      <c r="D57" s="44">
        <f t="shared" ref="D57:D60" si="2">B57/C57</f>
        <v>0.46400390543619952</v>
      </c>
      <c r="E57" s="44">
        <v>0.37215789516439562</v>
      </c>
      <c r="F57" s="46">
        <f t="shared" ref="F57:F60" si="3">E57*C57</f>
        <v>73069063.430277482</v>
      </c>
      <c r="G57" s="46">
        <f t="shared" ref="G57:G60" si="4">F57*D49</f>
        <v>0</v>
      </c>
      <c r="H57" s="98"/>
      <c r="I57" s="44">
        <f t="shared" ref="I57:I60" si="5">ABS(B57-F57)/B57</f>
        <v>0.19794232159632708</v>
      </c>
    </row>
    <row r="58" spans="1:9" x14ac:dyDescent="0.35">
      <c r="A58" s="32">
        <v>3</v>
      </c>
      <c r="B58" s="45">
        <f>D28</f>
        <v>144397458</v>
      </c>
      <c r="C58" s="46">
        <f>SUM(B75:C77)</f>
        <v>452267310</v>
      </c>
      <c r="D58" s="44">
        <f t="shared" si="2"/>
        <v>0.31927458564272532</v>
      </c>
      <c r="E58" s="44">
        <v>0.37215789516439562</v>
      </c>
      <c r="F58" s="46">
        <f t="shared" si="3"/>
        <v>168314850.14126322</v>
      </c>
      <c r="G58" s="46">
        <f t="shared" si="4"/>
        <v>2918569.0537969773</v>
      </c>
      <c r="H58" s="98"/>
      <c r="I58" s="44">
        <f t="shared" si="5"/>
        <v>0.16563582539841676</v>
      </c>
    </row>
    <row r="59" spans="1:9" x14ac:dyDescent="0.35">
      <c r="A59" s="32">
        <v>4</v>
      </c>
      <c r="B59" s="45">
        <f>C31</f>
        <v>261229464</v>
      </c>
      <c r="C59" s="46">
        <f>SUM(B78:C80)</f>
        <v>672029101.55999994</v>
      </c>
      <c r="D59" s="44">
        <f t="shared" si="2"/>
        <v>0.38871748767069869</v>
      </c>
      <c r="E59" s="44">
        <v>0.37215789516439562</v>
      </c>
      <c r="F59" s="46">
        <f t="shared" si="3"/>
        <v>250100935.92578945</v>
      </c>
      <c r="G59" s="46">
        <f t="shared" si="4"/>
        <v>73674448.515155941</v>
      </c>
      <c r="H59" s="98"/>
      <c r="I59" s="44">
        <f t="shared" si="5"/>
        <v>4.2600585339066327E-2</v>
      </c>
    </row>
    <row r="60" spans="1:9" x14ac:dyDescent="0.35">
      <c r="A60" s="32">
        <v>5</v>
      </c>
      <c r="B60" s="45">
        <f>B34</f>
        <v>61154274</v>
      </c>
      <c r="C60" s="46">
        <f>SUM(F69:G71)</f>
        <v>224575208.68000001</v>
      </c>
      <c r="D60" s="44">
        <f t="shared" si="2"/>
        <v>0.27231088578053814</v>
      </c>
      <c r="E60" s="44">
        <v>0.37215789516439562</v>
      </c>
      <c r="F60" s="46">
        <f t="shared" si="3"/>
        <v>83577436.96845372</v>
      </c>
      <c r="G60" s="46">
        <f t="shared" si="4"/>
        <v>64027487.200027555</v>
      </c>
      <c r="H60" s="98"/>
      <c r="I60" s="44">
        <f t="shared" si="5"/>
        <v>0.36666550842306983</v>
      </c>
    </row>
    <row r="61" spans="1:9" x14ac:dyDescent="0.35">
      <c r="I61" s="135">
        <f>AVERAGE((I56:I60))</f>
        <v>0.16069463151533675</v>
      </c>
    </row>
    <row r="62" spans="1:9" x14ac:dyDescent="0.35">
      <c r="A62" t="s">
        <v>27</v>
      </c>
    </row>
    <row r="63" spans="1:9" x14ac:dyDescent="0.35">
      <c r="A63" t="s">
        <v>30</v>
      </c>
    </row>
    <row r="64" spans="1:9" x14ac:dyDescent="0.35">
      <c r="A64" t="s">
        <v>31</v>
      </c>
    </row>
    <row r="68" spans="1:7" x14ac:dyDescent="0.35">
      <c r="A68" s="17" t="s">
        <v>48</v>
      </c>
      <c r="B68" s="99" t="s">
        <v>8</v>
      </c>
      <c r="C68" s="100"/>
      <c r="D68" s="8"/>
      <c r="E68" s="17" t="s">
        <v>7</v>
      </c>
      <c r="F68" s="101" t="s">
        <v>8</v>
      </c>
      <c r="G68" s="101"/>
    </row>
    <row r="69" spans="1:7" x14ac:dyDescent="0.35">
      <c r="A69" s="4">
        <v>45292</v>
      </c>
      <c r="B69" s="91">
        <v>291922566.38</v>
      </c>
      <c r="C69" s="92"/>
      <c r="D69" s="9"/>
      <c r="E69" s="4">
        <v>45658</v>
      </c>
      <c r="F69" s="96">
        <v>101167203.29000001</v>
      </c>
      <c r="G69" s="96"/>
    </row>
    <row r="70" spans="1:7" x14ac:dyDescent="0.35">
      <c r="A70" s="4">
        <v>45323</v>
      </c>
      <c r="B70" s="91">
        <v>184554129</v>
      </c>
      <c r="C70" s="92"/>
      <c r="D70" s="9"/>
      <c r="E70" s="4">
        <v>45689</v>
      </c>
      <c r="F70" s="96">
        <v>56719742</v>
      </c>
      <c r="G70" s="96"/>
    </row>
    <row r="71" spans="1:7" x14ac:dyDescent="0.35">
      <c r="A71" s="4">
        <v>45352</v>
      </c>
      <c r="B71" s="91">
        <v>66362446</v>
      </c>
      <c r="C71" s="92"/>
      <c r="D71" s="9"/>
      <c r="E71" s="4">
        <v>45717</v>
      </c>
      <c r="F71" s="96">
        <v>66688263.390000001</v>
      </c>
      <c r="G71" s="96"/>
    </row>
    <row r="72" spans="1:7" x14ac:dyDescent="0.35">
      <c r="A72" s="13">
        <v>45383</v>
      </c>
      <c r="B72" s="91">
        <v>69966160</v>
      </c>
      <c r="C72" s="92"/>
      <c r="D72" s="9"/>
      <c r="E72" s="23">
        <v>45748</v>
      </c>
      <c r="F72" s="95">
        <v>57962898.5</v>
      </c>
      <c r="G72" s="95"/>
    </row>
    <row r="73" spans="1:7" x14ac:dyDescent="0.35">
      <c r="A73" s="13">
        <v>45413</v>
      </c>
      <c r="B73" s="91">
        <v>69012958</v>
      </c>
      <c r="C73" s="92"/>
      <c r="D73" s="9"/>
      <c r="E73" s="23">
        <v>45778</v>
      </c>
      <c r="F73" s="95">
        <v>55407937</v>
      </c>
      <c r="G73" s="95"/>
    </row>
    <row r="74" spans="1:7" x14ac:dyDescent="0.35">
      <c r="A74" s="13">
        <v>45444</v>
      </c>
      <c r="B74" s="91">
        <v>57359759.609999999</v>
      </c>
      <c r="C74" s="92"/>
      <c r="D74" s="9"/>
      <c r="E74" s="9"/>
      <c r="F74" s="9"/>
      <c r="G74" s="9"/>
    </row>
    <row r="75" spans="1:7" x14ac:dyDescent="0.35">
      <c r="A75" s="4">
        <v>45474</v>
      </c>
      <c r="B75" s="91">
        <v>156485297</v>
      </c>
      <c r="C75" s="92"/>
      <c r="D75" s="9"/>
      <c r="E75" s="9"/>
      <c r="F75" s="9"/>
      <c r="G75" s="9"/>
    </row>
    <row r="76" spans="1:7" x14ac:dyDescent="0.35">
      <c r="A76" s="4">
        <v>45505</v>
      </c>
      <c r="B76" s="91">
        <v>134354150</v>
      </c>
      <c r="C76" s="92"/>
      <c r="D76" s="9"/>
      <c r="E76" s="9"/>
      <c r="F76" s="9"/>
      <c r="G76" s="9"/>
    </row>
    <row r="77" spans="1:7" x14ac:dyDescent="0.35">
      <c r="A77" s="4">
        <v>45536</v>
      </c>
      <c r="B77" s="91">
        <v>161427863</v>
      </c>
      <c r="C77" s="92"/>
      <c r="D77" s="9">
        <v>215434406.56</v>
      </c>
      <c r="E77" s="9"/>
      <c r="F77" s="9"/>
      <c r="G77" s="9"/>
    </row>
    <row r="78" spans="1:7" x14ac:dyDescent="0.35">
      <c r="A78" s="13">
        <v>45566</v>
      </c>
      <c r="B78" s="91">
        <v>275434406.56</v>
      </c>
      <c r="C78" s="92"/>
      <c r="D78" s="9"/>
      <c r="E78" s="9"/>
      <c r="F78" s="9"/>
      <c r="G78" s="9"/>
    </row>
    <row r="79" spans="1:7" x14ac:dyDescent="0.35">
      <c r="A79" s="13">
        <v>45597</v>
      </c>
      <c r="B79" s="91">
        <v>299304402</v>
      </c>
      <c r="C79" s="92"/>
      <c r="D79" s="9"/>
      <c r="E79" s="9"/>
      <c r="F79" s="9"/>
      <c r="G79" s="9"/>
    </row>
    <row r="80" spans="1:7" x14ac:dyDescent="0.35">
      <c r="A80" s="13">
        <v>45627</v>
      </c>
      <c r="B80" s="93">
        <v>97290293</v>
      </c>
      <c r="C80" s="94"/>
      <c r="D80" s="9"/>
      <c r="E80" s="9"/>
      <c r="F80" s="9"/>
      <c r="G80" s="9"/>
    </row>
  </sheetData>
  <mergeCells count="119">
    <mergeCell ref="A1:A2"/>
    <mergeCell ref="B1:F1"/>
    <mergeCell ref="H1:H2"/>
    <mergeCell ref="I1:M1"/>
    <mergeCell ref="O1:O2"/>
    <mergeCell ref="P1:AF1"/>
    <mergeCell ref="H3:H5"/>
    <mergeCell ref="I3:I5"/>
    <mergeCell ref="J3:J5"/>
    <mergeCell ref="K3:K5"/>
    <mergeCell ref="L3:L5"/>
    <mergeCell ref="M3:M5"/>
    <mergeCell ref="A3:A5"/>
    <mergeCell ref="B3:B5"/>
    <mergeCell ref="C3:C5"/>
    <mergeCell ref="D3:D5"/>
    <mergeCell ref="E3:E5"/>
    <mergeCell ref="F3:F5"/>
    <mergeCell ref="H6:H8"/>
    <mergeCell ref="I6:I8"/>
    <mergeCell ref="J6:J8"/>
    <mergeCell ref="K6:K8"/>
    <mergeCell ref="L6:L8"/>
    <mergeCell ref="M6:M8"/>
    <mergeCell ref="A6:A8"/>
    <mergeCell ref="B6:B8"/>
    <mergeCell ref="C6:C8"/>
    <mergeCell ref="D6:D8"/>
    <mergeCell ref="E6:E8"/>
    <mergeCell ref="F6:F8"/>
    <mergeCell ref="H9:H11"/>
    <mergeCell ref="I9:I11"/>
    <mergeCell ref="J9:J11"/>
    <mergeCell ref="K9:K11"/>
    <mergeCell ref="L9:L11"/>
    <mergeCell ref="M9:M11"/>
    <mergeCell ref="A9:A11"/>
    <mergeCell ref="B9:B11"/>
    <mergeCell ref="C9:C11"/>
    <mergeCell ref="D9:D11"/>
    <mergeCell ref="E9:E11"/>
    <mergeCell ref="F9:F11"/>
    <mergeCell ref="H12:H14"/>
    <mergeCell ref="I12:I14"/>
    <mergeCell ref="J12:J14"/>
    <mergeCell ref="K12:K14"/>
    <mergeCell ref="L12:L14"/>
    <mergeCell ref="M12:M14"/>
    <mergeCell ref="A12:A14"/>
    <mergeCell ref="B12:B14"/>
    <mergeCell ref="C12:C14"/>
    <mergeCell ref="D12:D14"/>
    <mergeCell ref="E12:E14"/>
    <mergeCell ref="F12:F14"/>
    <mergeCell ref="I15:I17"/>
    <mergeCell ref="J15:J17"/>
    <mergeCell ref="K15:K17"/>
    <mergeCell ref="L15:L17"/>
    <mergeCell ref="M15:M17"/>
    <mergeCell ref="A15:A17"/>
    <mergeCell ref="B15:B17"/>
    <mergeCell ref="C15:C17"/>
    <mergeCell ref="D15:D17"/>
    <mergeCell ref="E15:E17"/>
    <mergeCell ref="F15:F17"/>
    <mergeCell ref="A20:A21"/>
    <mergeCell ref="B20:F20"/>
    <mergeCell ref="A22:A24"/>
    <mergeCell ref="B22:B24"/>
    <mergeCell ref="C22:C24"/>
    <mergeCell ref="D22:D24"/>
    <mergeCell ref="E22:E24"/>
    <mergeCell ref="F22:F24"/>
    <mergeCell ref="H15:H17"/>
    <mergeCell ref="A28:A30"/>
    <mergeCell ref="B28:B30"/>
    <mergeCell ref="C28:C30"/>
    <mergeCell ref="D28:D30"/>
    <mergeCell ref="E28:E30"/>
    <mergeCell ref="F28:F30"/>
    <mergeCell ref="A25:A27"/>
    <mergeCell ref="B25:B27"/>
    <mergeCell ref="C25:C27"/>
    <mergeCell ref="D25:D27"/>
    <mergeCell ref="E25:E27"/>
    <mergeCell ref="F25:F27"/>
    <mergeCell ref="A34:A36"/>
    <mergeCell ref="B34:B36"/>
    <mergeCell ref="C34:C36"/>
    <mergeCell ref="D34:D36"/>
    <mergeCell ref="E34:E36"/>
    <mergeCell ref="F34:F36"/>
    <mergeCell ref="A31:A33"/>
    <mergeCell ref="B31:B33"/>
    <mergeCell ref="C31:C33"/>
    <mergeCell ref="D31:D33"/>
    <mergeCell ref="E31:E33"/>
    <mergeCell ref="F31:F33"/>
    <mergeCell ref="B70:C70"/>
    <mergeCell ref="F70:G70"/>
    <mergeCell ref="B71:C71"/>
    <mergeCell ref="F71:G71"/>
    <mergeCell ref="B72:C72"/>
    <mergeCell ref="F72:G72"/>
    <mergeCell ref="A45:F46"/>
    <mergeCell ref="H56:H60"/>
    <mergeCell ref="B68:C68"/>
    <mergeCell ref="F68:G68"/>
    <mergeCell ref="B69:C69"/>
    <mergeCell ref="F69:G69"/>
    <mergeCell ref="B78:C78"/>
    <mergeCell ref="B79:C79"/>
    <mergeCell ref="B80:C80"/>
    <mergeCell ref="B73:C73"/>
    <mergeCell ref="F73:G73"/>
    <mergeCell ref="B74:C74"/>
    <mergeCell ref="B75:C75"/>
    <mergeCell ref="B76:C76"/>
    <mergeCell ref="B77:C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E3B1-314D-4D6A-8391-335140340B8B}">
  <dimension ref="A1:V80"/>
  <sheetViews>
    <sheetView topLeftCell="C20" zoomScale="33" zoomScaleNormal="69" workbookViewId="0">
      <selection activeCell="F50" sqref="F50:T64"/>
    </sheetView>
  </sheetViews>
  <sheetFormatPr defaultRowHeight="14.5" x14ac:dyDescent="0.35"/>
  <cols>
    <col min="1" max="1" width="18.90625" customWidth="1"/>
    <col min="2" max="2" width="19.54296875" customWidth="1"/>
    <col min="3" max="3" width="15.90625" customWidth="1"/>
    <col min="5" max="5" width="10.7265625" customWidth="1"/>
    <col min="6" max="6" width="10.08984375" customWidth="1"/>
    <col min="7" max="7" width="11" customWidth="1"/>
    <col min="8" max="8" width="11.81640625" customWidth="1"/>
    <col min="9" max="9" width="11.1796875" customWidth="1"/>
    <col min="10" max="10" width="11" customWidth="1"/>
    <col min="11" max="11" width="11.36328125" customWidth="1"/>
    <col min="12" max="12" width="12.08984375" customWidth="1"/>
    <col min="13" max="13" width="11.81640625" customWidth="1"/>
    <col min="14" max="15" width="11.453125" customWidth="1"/>
    <col min="16" max="16" width="11.6328125" customWidth="1"/>
    <col min="17" max="17" width="11.08984375" customWidth="1"/>
    <col min="18" max="18" width="12.453125" customWidth="1"/>
    <col min="19" max="19" width="12.90625" customWidth="1"/>
    <col min="20" max="20" width="12.08984375" customWidth="1"/>
    <col min="22" max="22" width="10.26953125" bestFit="1" customWidth="1"/>
  </cols>
  <sheetData>
    <row r="1" spans="1:22" x14ac:dyDescent="0.35">
      <c r="A1" s="118" t="s">
        <v>44</v>
      </c>
      <c r="B1" s="118"/>
      <c r="C1" s="118"/>
    </row>
    <row r="2" spans="1:22" x14ac:dyDescent="0.35">
      <c r="A2" s="67" t="s">
        <v>46</v>
      </c>
      <c r="B2" s="68" t="s">
        <v>45</v>
      </c>
      <c r="C2" s="66" t="s">
        <v>47</v>
      </c>
      <c r="E2" s="119" t="s">
        <v>2</v>
      </c>
      <c r="F2" s="117" t="s">
        <v>1</v>
      </c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</row>
    <row r="3" spans="1:22" ht="15.5" x14ac:dyDescent="0.35">
      <c r="A3" s="87">
        <v>45302</v>
      </c>
      <c r="B3" s="87">
        <v>45294</v>
      </c>
      <c r="C3" s="88">
        <v>3000000</v>
      </c>
      <c r="E3" s="119"/>
      <c r="F3" s="5">
        <v>45292</v>
      </c>
      <c r="G3" s="5">
        <v>45323</v>
      </c>
      <c r="H3" s="5">
        <v>45352</v>
      </c>
      <c r="I3" s="5">
        <v>45383</v>
      </c>
      <c r="J3" s="5">
        <v>45413</v>
      </c>
      <c r="K3" s="5">
        <v>45444</v>
      </c>
      <c r="L3" s="5">
        <v>45474</v>
      </c>
      <c r="M3" s="5">
        <v>45505</v>
      </c>
      <c r="N3" s="5">
        <v>45536</v>
      </c>
      <c r="O3" s="5">
        <v>45566</v>
      </c>
      <c r="P3" s="5">
        <v>45597</v>
      </c>
      <c r="Q3" s="5">
        <v>45627</v>
      </c>
      <c r="R3" s="5">
        <v>45658</v>
      </c>
      <c r="S3" s="5">
        <v>45689</v>
      </c>
      <c r="T3" s="5">
        <v>45717</v>
      </c>
      <c r="U3" s="22">
        <v>45748</v>
      </c>
      <c r="V3" s="22">
        <v>45778</v>
      </c>
    </row>
    <row r="4" spans="1:22" ht="15.5" x14ac:dyDescent="0.35">
      <c r="A4" s="87">
        <v>45306</v>
      </c>
      <c r="B4" s="87">
        <v>45297</v>
      </c>
      <c r="C4" s="88">
        <v>2000000</v>
      </c>
      <c r="E4" s="4">
        <v>45292</v>
      </c>
      <c r="F4" s="69">
        <v>5000000</v>
      </c>
      <c r="G4" s="69">
        <v>7137616</v>
      </c>
      <c r="H4" s="70">
        <v>29809000</v>
      </c>
      <c r="I4" s="71">
        <v>28267915</v>
      </c>
      <c r="J4" s="71"/>
      <c r="K4" s="71"/>
      <c r="L4" s="72"/>
      <c r="M4" s="72"/>
      <c r="N4" s="72"/>
      <c r="O4" s="72"/>
      <c r="P4" s="72"/>
      <c r="Q4" s="72"/>
      <c r="R4" s="73"/>
      <c r="S4" s="73"/>
      <c r="T4" s="73"/>
      <c r="U4" s="74"/>
      <c r="V4" s="74"/>
    </row>
    <row r="5" spans="1:22" ht="15.5" x14ac:dyDescent="0.35">
      <c r="A5" s="87">
        <v>45341</v>
      </c>
      <c r="B5" s="87">
        <v>45305</v>
      </c>
      <c r="C5" s="88">
        <v>7137616</v>
      </c>
      <c r="E5" s="4">
        <v>45323</v>
      </c>
      <c r="F5" s="75"/>
      <c r="G5" s="75">
        <v>42950003</v>
      </c>
      <c r="H5" s="76">
        <v>534170</v>
      </c>
      <c r="I5" s="77">
        <v>9928518</v>
      </c>
      <c r="J5" s="77">
        <v>1180575</v>
      </c>
      <c r="K5" s="78"/>
      <c r="L5" s="73"/>
      <c r="M5" s="73"/>
      <c r="N5" s="73"/>
      <c r="O5" s="73"/>
      <c r="P5" s="73"/>
      <c r="Q5" s="73"/>
      <c r="R5" s="73"/>
      <c r="S5" s="73"/>
      <c r="T5" s="73"/>
      <c r="U5" s="74"/>
      <c r="V5" s="74"/>
    </row>
    <row r="6" spans="1:22" ht="15.5" x14ac:dyDescent="0.35">
      <c r="A6" s="87">
        <v>45371</v>
      </c>
      <c r="B6" s="87">
        <v>45341</v>
      </c>
      <c r="C6" s="88">
        <v>534170</v>
      </c>
      <c r="E6" s="4">
        <v>45352</v>
      </c>
      <c r="F6" s="75"/>
      <c r="G6" s="75"/>
      <c r="H6" s="75"/>
      <c r="I6" s="77">
        <v>13331739</v>
      </c>
      <c r="J6" s="78">
        <v>1247040</v>
      </c>
      <c r="K6" s="78">
        <v>42950003</v>
      </c>
      <c r="L6" s="73"/>
      <c r="M6" s="73"/>
      <c r="N6" s="73"/>
      <c r="O6" s="73"/>
      <c r="P6" s="73"/>
      <c r="Q6" s="73"/>
      <c r="R6" s="73"/>
      <c r="S6" s="73"/>
      <c r="T6" s="73"/>
      <c r="U6" s="74"/>
      <c r="V6" s="74"/>
    </row>
    <row r="7" spans="1:22" ht="15.5" x14ac:dyDescent="0.35">
      <c r="A7" s="87">
        <v>45385</v>
      </c>
      <c r="B7" s="87">
        <v>45355</v>
      </c>
      <c r="C7" s="88">
        <v>13331739</v>
      </c>
      <c r="E7" s="13">
        <v>45383</v>
      </c>
      <c r="F7" s="73"/>
      <c r="G7" s="73"/>
      <c r="H7" s="73"/>
      <c r="I7" s="75">
        <v>6700000</v>
      </c>
      <c r="J7" s="76">
        <v>15597640</v>
      </c>
      <c r="K7" s="75">
        <v>10189219</v>
      </c>
      <c r="L7" s="78"/>
      <c r="M7" s="78"/>
      <c r="N7" s="78"/>
      <c r="O7" s="73"/>
      <c r="P7" s="73"/>
      <c r="Q7" s="73"/>
      <c r="R7" s="78"/>
      <c r="S7" s="78"/>
      <c r="T7" s="78"/>
      <c r="U7" s="74"/>
      <c r="V7" s="74"/>
    </row>
    <row r="8" spans="1:22" ht="15.5" x14ac:dyDescent="0.35">
      <c r="A8" s="87">
        <v>45404</v>
      </c>
      <c r="B8" s="87">
        <v>45325</v>
      </c>
      <c r="C8" s="88">
        <v>7928518</v>
      </c>
      <c r="E8" s="13">
        <v>45413</v>
      </c>
      <c r="F8" s="73"/>
      <c r="G8" s="73"/>
      <c r="H8" s="73"/>
      <c r="I8" s="75"/>
      <c r="J8" s="75"/>
      <c r="K8" s="75">
        <v>1873260</v>
      </c>
      <c r="L8" s="78">
        <v>35669029</v>
      </c>
      <c r="M8" s="78"/>
      <c r="N8" s="78"/>
      <c r="O8" s="73"/>
      <c r="P8" s="73"/>
      <c r="Q8" s="73"/>
      <c r="R8" s="78"/>
      <c r="S8" s="78"/>
      <c r="T8" s="78"/>
      <c r="U8" s="74"/>
      <c r="V8" s="74"/>
    </row>
    <row r="9" spans="1:22" ht="15.5" x14ac:dyDescent="0.35">
      <c r="A9" s="87">
        <v>45412</v>
      </c>
      <c r="B9" s="87">
        <v>45383</v>
      </c>
      <c r="C9" s="88">
        <v>4000000</v>
      </c>
      <c r="E9" s="13">
        <v>45444</v>
      </c>
      <c r="F9" s="73"/>
      <c r="G9" s="73"/>
      <c r="H9" s="73"/>
      <c r="I9" s="75"/>
      <c r="J9" s="75"/>
      <c r="K9" s="75"/>
      <c r="L9" s="78">
        <v>4500000</v>
      </c>
      <c r="M9" s="78">
        <v>11459108</v>
      </c>
      <c r="N9" s="78"/>
      <c r="O9" s="73"/>
      <c r="P9" s="73"/>
      <c r="Q9" s="73"/>
      <c r="R9" s="78"/>
      <c r="S9" s="78"/>
      <c r="T9" s="79">
        <v>1863750</v>
      </c>
      <c r="U9" s="74"/>
      <c r="V9" s="74"/>
    </row>
    <row r="10" spans="1:22" ht="15.5" x14ac:dyDescent="0.35">
      <c r="A10" s="87">
        <v>45412</v>
      </c>
      <c r="B10" s="87">
        <v>45384</v>
      </c>
      <c r="C10" s="88">
        <v>2700000</v>
      </c>
      <c r="E10" s="4">
        <v>45474</v>
      </c>
      <c r="F10" s="73"/>
      <c r="G10" s="73"/>
      <c r="H10" s="73"/>
      <c r="I10" s="73"/>
      <c r="J10" s="73"/>
      <c r="K10" s="73"/>
      <c r="L10" s="75">
        <v>934638</v>
      </c>
      <c r="M10" s="75">
        <v>17460200</v>
      </c>
      <c r="N10" s="75">
        <v>37281107</v>
      </c>
      <c r="O10" s="78"/>
      <c r="P10" s="78"/>
      <c r="Q10" s="78"/>
      <c r="R10" s="73"/>
      <c r="S10" s="73"/>
      <c r="T10" s="73"/>
      <c r="U10" s="74"/>
      <c r="V10" s="74"/>
    </row>
    <row r="11" spans="1:22" ht="15.5" x14ac:dyDescent="0.35">
      <c r="A11" s="87">
        <v>45412</v>
      </c>
      <c r="B11" s="87">
        <v>45333</v>
      </c>
      <c r="C11" s="88">
        <v>2000000</v>
      </c>
      <c r="E11" s="4">
        <v>45505</v>
      </c>
      <c r="F11" s="73"/>
      <c r="G11" s="73"/>
      <c r="H11" s="73"/>
      <c r="I11" s="73"/>
      <c r="J11" s="73"/>
      <c r="K11" s="73"/>
      <c r="L11" s="75"/>
      <c r="M11" s="75">
        <v>728790</v>
      </c>
      <c r="N11" s="75">
        <v>11960178</v>
      </c>
      <c r="O11" s="78">
        <v>29390042</v>
      </c>
      <c r="P11" s="78"/>
      <c r="Q11" s="78"/>
      <c r="R11" s="73"/>
      <c r="S11" s="73"/>
      <c r="T11" s="73"/>
      <c r="U11" s="74"/>
      <c r="V11" s="74"/>
    </row>
    <row r="12" spans="1:22" ht="15.5" x14ac:dyDescent="0.35">
      <c r="A12" s="87">
        <v>45419</v>
      </c>
      <c r="B12" s="87">
        <v>45390</v>
      </c>
      <c r="C12" s="88">
        <v>205140</v>
      </c>
      <c r="E12" s="4">
        <v>45536</v>
      </c>
      <c r="F12" s="73"/>
      <c r="G12" s="73"/>
      <c r="H12" s="73"/>
      <c r="I12" s="73"/>
      <c r="J12" s="73"/>
      <c r="K12" s="73"/>
      <c r="L12" s="75"/>
      <c r="M12" s="75"/>
      <c r="N12" s="75"/>
      <c r="O12" s="78">
        <v>22214203</v>
      </c>
      <c r="P12" s="78">
        <v>24428300</v>
      </c>
      <c r="Q12" s="78"/>
      <c r="R12" s="73"/>
      <c r="S12" s="73"/>
      <c r="T12" s="73"/>
      <c r="U12" s="74"/>
      <c r="V12" s="74"/>
    </row>
    <row r="13" spans="1:22" ht="15.5" x14ac:dyDescent="0.35">
      <c r="A13" s="87">
        <v>45429</v>
      </c>
      <c r="B13" s="87">
        <v>45376</v>
      </c>
      <c r="C13" s="88">
        <v>1247040</v>
      </c>
      <c r="E13" s="13">
        <v>45566</v>
      </c>
      <c r="F13" s="73"/>
      <c r="G13" s="73"/>
      <c r="H13" s="73"/>
      <c r="I13" s="73"/>
      <c r="J13" s="73"/>
      <c r="K13" s="73"/>
      <c r="L13" s="73"/>
      <c r="M13" s="73"/>
      <c r="N13" s="73"/>
      <c r="O13" s="75">
        <v>3647000</v>
      </c>
      <c r="P13" s="75">
        <v>19419733</v>
      </c>
      <c r="Q13" s="75">
        <v>8417325</v>
      </c>
      <c r="R13" s="78"/>
      <c r="S13" s="78"/>
      <c r="T13" s="78">
        <v>82089722</v>
      </c>
      <c r="U13" s="74"/>
      <c r="V13" s="74"/>
    </row>
    <row r="14" spans="1:22" ht="15.5" x14ac:dyDescent="0.35">
      <c r="A14" s="87">
        <v>45429</v>
      </c>
      <c r="B14" s="87">
        <v>45410</v>
      </c>
      <c r="C14" s="88">
        <v>6892500</v>
      </c>
      <c r="E14" s="13">
        <v>45597</v>
      </c>
      <c r="F14" s="73"/>
      <c r="G14" s="73"/>
      <c r="H14" s="73"/>
      <c r="I14" s="73"/>
      <c r="J14" s="73"/>
      <c r="K14" s="73"/>
      <c r="L14" s="73"/>
      <c r="M14" s="73"/>
      <c r="N14" s="73"/>
      <c r="O14" s="75"/>
      <c r="P14" s="75">
        <v>148200</v>
      </c>
      <c r="Q14" s="75"/>
      <c r="R14" s="78">
        <v>15450530</v>
      </c>
      <c r="S14" s="78">
        <v>101423278</v>
      </c>
      <c r="T14" s="78">
        <v>3399750</v>
      </c>
      <c r="U14" s="74"/>
      <c r="V14" s="74">
        <v>35280392</v>
      </c>
    </row>
    <row r="15" spans="1:22" ht="15.5" x14ac:dyDescent="0.35">
      <c r="A15" s="87">
        <v>45432</v>
      </c>
      <c r="B15" s="87">
        <v>45386</v>
      </c>
      <c r="C15" s="88">
        <v>4000000</v>
      </c>
      <c r="E15" s="13">
        <v>45627</v>
      </c>
      <c r="F15" s="73"/>
      <c r="G15" s="73"/>
      <c r="H15" s="73"/>
      <c r="I15" s="73"/>
      <c r="J15" s="73"/>
      <c r="K15" s="73"/>
      <c r="L15" s="73"/>
      <c r="M15" s="73"/>
      <c r="N15" s="73"/>
      <c r="O15" s="75"/>
      <c r="P15" s="75"/>
      <c r="Q15" s="75"/>
      <c r="R15" s="78">
        <v>18033926</v>
      </c>
      <c r="S15" s="78">
        <v>9200000</v>
      </c>
      <c r="T15" s="78"/>
      <c r="U15" s="74"/>
      <c r="V15" s="74"/>
    </row>
    <row r="16" spans="1:22" ht="15.5" x14ac:dyDescent="0.35">
      <c r="A16" s="87">
        <v>45432</v>
      </c>
      <c r="B16" s="87">
        <v>45386</v>
      </c>
      <c r="C16" s="88">
        <v>4500000</v>
      </c>
      <c r="E16" s="18">
        <v>45658</v>
      </c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5">
        <v>3232650</v>
      </c>
      <c r="S16" s="75">
        <v>11256457</v>
      </c>
      <c r="T16" s="75">
        <v>12244835</v>
      </c>
      <c r="U16" s="74"/>
      <c r="V16" s="74"/>
    </row>
    <row r="17" spans="1:22" ht="15.5" x14ac:dyDescent="0.35">
      <c r="A17" s="87">
        <v>45442</v>
      </c>
      <c r="B17" s="87">
        <v>45325</v>
      </c>
      <c r="C17" s="88">
        <v>1180575</v>
      </c>
      <c r="E17" s="18">
        <v>45689</v>
      </c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5"/>
      <c r="S17" s="75">
        <v>21564532</v>
      </c>
      <c r="T17" s="75">
        <v>5514575</v>
      </c>
      <c r="U17" s="74"/>
      <c r="V17" s="74"/>
    </row>
    <row r="18" spans="1:22" ht="15.5" x14ac:dyDescent="0.35">
      <c r="A18" s="87">
        <v>45454</v>
      </c>
      <c r="B18" s="87">
        <v>45410</v>
      </c>
      <c r="C18" s="88">
        <v>4000000</v>
      </c>
      <c r="E18" s="18">
        <v>45717</v>
      </c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5"/>
      <c r="S18" s="75"/>
      <c r="T18" s="75">
        <v>5341225</v>
      </c>
      <c r="U18" s="74"/>
      <c r="V18" s="74">
        <v>28267915</v>
      </c>
    </row>
    <row r="19" spans="1:22" ht="15.5" x14ac:dyDescent="0.35">
      <c r="A19" s="87">
        <v>45454</v>
      </c>
      <c r="B19" s="87">
        <v>45403</v>
      </c>
      <c r="C19" s="88">
        <v>6189219</v>
      </c>
      <c r="E19" s="20">
        <v>45748</v>
      </c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>
        <v>42950003</v>
      </c>
    </row>
    <row r="20" spans="1:22" ht="15.5" x14ac:dyDescent="0.35">
      <c r="A20" s="87">
        <v>45462</v>
      </c>
      <c r="B20" s="87">
        <v>45424</v>
      </c>
      <c r="C20" s="88">
        <v>1873260</v>
      </c>
      <c r="E20" s="20">
        <v>45778</v>
      </c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</row>
    <row r="21" spans="1:22" ht="15.5" x14ac:dyDescent="0.35">
      <c r="A21" s="87">
        <v>45475</v>
      </c>
      <c r="B21" s="87">
        <v>45463</v>
      </c>
      <c r="C21" s="88">
        <v>4500000</v>
      </c>
    </row>
    <row r="22" spans="1:22" ht="15.5" x14ac:dyDescent="0.35">
      <c r="A22" s="87">
        <v>45483</v>
      </c>
      <c r="B22" s="87">
        <v>45419</v>
      </c>
      <c r="C22" s="88">
        <v>6397629</v>
      </c>
    </row>
    <row r="23" spans="1:22" ht="15.5" x14ac:dyDescent="0.35">
      <c r="A23" s="87">
        <v>45489</v>
      </c>
      <c r="B23" s="87">
        <v>45496</v>
      </c>
      <c r="C23" s="88">
        <v>934638</v>
      </c>
    </row>
    <row r="24" spans="1:22" ht="15.5" x14ac:dyDescent="0.35">
      <c r="A24" s="87">
        <v>45495</v>
      </c>
      <c r="B24" s="87">
        <v>45433</v>
      </c>
      <c r="C24" s="88">
        <v>29271400</v>
      </c>
    </row>
    <row r="25" spans="1:22" ht="15.5" x14ac:dyDescent="0.35">
      <c r="A25" s="87">
        <v>45506</v>
      </c>
      <c r="B25" s="87">
        <v>45475</v>
      </c>
      <c r="C25" s="88">
        <v>13210200</v>
      </c>
    </row>
    <row r="26" spans="1:22" ht="15.5" x14ac:dyDescent="0.35">
      <c r="A26" s="87">
        <v>45513</v>
      </c>
      <c r="B26" s="87">
        <v>45487</v>
      </c>
      <c r="C26" s="88">
        <v>4250000</v>
      </c>
    </row>
    <row r="27" spans="1:22" ht="15.5" x14ac:dyDescent="0.35">
      <c r="A27" s="87">
        <v>45531</v>
      </c>
      <c r="B27" s="87">
        <v>45505</v>
      </c>
      <c r="C27" s="88">
        <v>728790</v>
      </c>
    </row>
    <row r="28" spans="1:22" ht="15.5" x14ac:dyDescent="0.35">
      <c r="A28" s="87">
        <v>45532</v>
      </c>
      <c r="B28" s="87">
        <v>45455</v>
      </c>
      <c r="C28" s="88">
        <v>11459108</v>
      </c>
    </row>
    <row r="29" spans="1:22" ht="15.5" x14ac:dyDescent="0.35">
      <c r="A29" s="87">
        <v>45545</v>
      </c>
      <c r="B29" s="87">
        <v>45532</v>
      </c>
      <c r="C29" s="88">
        <v>2000000</v>
      </c>
    </row>
    <row r="30" spans="1:22" ht="15.5" x14ac:dyDescent="0.35">
      <c r="A30" s="87">
        <v>45545</v>
      </c>
      <c r="B30" s="87">
        <v>45515</v>
      </c>
      <c r="C30" s="88">
        <v>4500000</v>
      </c>
    </row>
    <row r="31" spans="1:22" ht="15.5" x14ac:dyDescent="0.35">
      <c r="A31" s="87">
        <v>45554</v>
      </c>
      <c r="B31" s="87">
        <v>45513</v>
      </c>
      <c r="C31" s="88">
        <v>5460178</v>
      </c>
    </row>
    <row r="32" spans="1:22" ht="15.5" x14ac:dyDescent="0.35">
      <c r="A32" s="87">
        <v>45559</v>
      </c>
      <c r="B32" s="87">
        <v>45476</v>
      </c>
      <c r="C32" s="88">
        <v>37281107</v>
      </c>
    </row>
    <row r="33" spans="1:22" ht="15.5" x14ac:dyDescent="0.35">
      <c r="A33" s="87">
        <v>45568</v>
      </c>
      <c r="B33" s="87">
        <v>45536</v>
      </c>
      <c r="C33" s="88">
        <v>2297400</v>
      </c>
    </row>
    <row r="34" spans="1:22" ht="15.5" x14ac:dyDescent="0.35">
      <c r="A34" s="87">
        <v>45568</v>
      </c>
      <c r="B34" s="87">
        <v>45523</v>
      </c>
      <c r="C34" s="88">
        <v>3237878</v>
      </c>
    </row>
    <row r="35" spans="1:22" ht="15.5" x14ac:dyDescent="0.35">
      <c r="A35" s="87">
        <v>45579</v>
      </c>
      <c r="B35" s="87">
        <v>45511</v>
      </c>
      <c r="C35" s="88">
        <v>26152164</v>
      </c>
    </row>
    <row r="36" spans="1:22" ht="15.5" x14ac:dyDescent="0.35">
      <c r="A36" s="87">
        <v>45582</v>
      </c>
      <c r="B36" s="87">
        <v>45537</v>
      </c>
      <c r="C36" s="88">
        <v>8493423</v>
      </c>
    </row>
    <row r="37" spans="1:22" ht="15.5" x14ac:dyDescent="0.35">
      <c r="A37" s="87">
        <v>45587</v>
      </c>
      <c r="B37" s="87">
        <v>45552</v>
      </c>
      <c r="C37" s="88">
        <v>8568030</v>
      </c>
    </row>
    <row r="38" spans="1:22" ht="15.5" x14ac:dyDescent="0.35">
      <c r="A38" s="87">
        <v>45589</v>
      </c>
      <c r="B38" s="87">
        <v>45552</v>
      </c>
      <c r="C38" s="88">
        <v>2855350</v>
      </c>
    </row>
    <row r="39" spans="1:22" ht="15.5" x14ac:dyDescent="0.35">
      <c r="A39" s="87">
        <v>45596</v>
      </c>
      <c r="B39" s="87">
        <v>45569</v>
      </c>
      <c r="C39" s="88">
        <v>3647000</v>
      </c>
    </row>
    <row r="40" spans="1:22" ht="15.5" x14ac:dyDescent="0.35">
      <c r="A40" s="87">
        <v>45601</v>
      </c>
      <c r="B40" s="87">
        <v>45582</v>
      </c>
      <c r="C40" s="88">
        <v>6647060</v>
      </c>
    </row>
    <row r="41" spans="1:22" ht="15.5" x14ac:dyDescent="0.35">
      <c r="A41" s="87">
        <v>45602</v>
      </c>
      <c r="B41" s="87">
        <v>45566</v>
      </c>
      <c r="C41" s="88">
        <v>2701080</v>
      </c>
    </row>
    <row r="42" spans="1:22" ht="15.5" x14ac:dyDescent="0.35">
      <c r="A42" s="87">
        <v>45609</v>
      </c>
      <c r="B42" s="87">
        <v>45590</v>
      </c>
      <c r="C42" s="88">
        <v>685891</v>
      </c>
    </row>
    <row r="43" spans="1:22" ht="15.5" x14ac:dyDescent="0.35">
      <c r="A43" s="87">
        <v>45614</v>
      </c>
      <c r="B43" s="87">
        <v>45544</v>
      </c>
      <c r="C43" s="88">
        <v>24428300</v>
      </c>
    </row>
    <row r="44" spans="1:22" ht="15.5" x14ac:dyDescent="0.35">
      <c r="A44" s="87">
        <v>45614</v>
      </c>
      <c r="B44" s="87">
        <v>45604</v>
      </c>
      <c r="C44" s="88">
        <v>148200</v>
      </c>
    </row>
    <row r="45" spans="1:22" ht="15.5" x14ac:dyDescent="0.35">
      <c r="A45" s="87">
        <v>45615</v>
      </c>
      <c r="B45" s="87">
        <v>45576</v>
      </c>
      <c r="C45" s="88">
        <v>7035702</v>
      </c>
    </row>
    <row r="46" spans="1:22" ht="15.5" x14ac:dyDescent="0.35">
      <c r="A46" s="87">
        <v>45618</v>
      </c>
      <c r="B46" s="87">
        <v>45577</v>
      </c>
      <c r="C46" s="88">
        <v>2350000</v>
      </c>
    </row>
    <row r="47" spans="1:22" ht="15.5" x14ac:dyDescent="0.35">
      <c r="A47" s="87">
        <v>45643</v>
      </c>
      <c r="B47" s="87">
        <v>45581</v>
      </c>
      <c r="C47" s="88">
        <v>8417325</v>
      </c>
    </row>
    <row r="48" spans="1:22" ht="15.5" x14ac:dyDescent="0.35">
      <c r="A48" s="89">
        <v>45672</v>
      </c>
      <c r="B48" s="89">
        <v>45634</v>
      </c>
      <c r="C48" s="90">
        <v>14374850</v>
      </c>
      <c r="E48" s="119" t="s">
        <v>2</v>
      </c>
      <c r="F48" s="117" t="s">
        <v>1</v>
      </c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</row>
    <row r="49" spans="1:22" ht="15.5" x14ac:dyDescent="0.35">
      <c r="A49" s="89">
        <v>45679</v>
      </c>
      <c r="B49" s="89">
        <v>45629</v>
      </c>
      <c r="C49" s="90">
        <v>1489800</v>
      </c>
      <c r="E49" s="119"/>
      <c r="F49" s="5">
        <v>45292</v>
      </c>
      <c r="G49" s="5">
        <v>45323</v>
      </c>
      <c r="H49" s="5">
        <v>45352</v>
      </c>
      <c r="I49" s="5">
        <v>45383</v>
      </c>
      <c r="J49" s="5">
        <v>45413</v>
      </c>
      <c r="K49" s="5">
        <v>45444</v>
      </c>
      <c r="L49" s="5">
        <v>45474</v>
      </c>
      <c r="M49" s="5">
        <v>45505</v>
      </c>
      <c r="N49" s="5">
        <v>45536</v>
      </c>
      <c r="O49" s="5">
        <v>45566</v>
      </c>
      <c r="P49" s="5">
        <v>45597</v>
      </c>
      <c r="Q49" s="5">
        <v>45627</v>
      </c>
      <c r="R49" s="5">
        <v>45658</v>
      </c>
      <c r="S49" s="5">
        <v>45689</v>
      </c>
      <c r="T49" s="5">
        <v>45717</v>
      </c>
      <c r="U49" s="22">
        <v>45748</v>
      </c>
      <c r="V49" s="22">
        <v>45778</v>
      </c>
    </row>
    <row r="50" spans="1:22" ht="15.5" x14ac:dyDescent="0.35">
      <c r="A50" s="89">
        <v>45679</v>
      </c>
      <c r="B50" s="89">
        <v>45639</v>
      </c>
      <c r="C50" s="90">
        <v>2169276</v>
      </c>
      <c r="E50" s="4">
        <v>45292</v>
      </c>
      <c r="F50" s="69">
        <v>5000000</v>
      </c>
      <c r="G50" s="69">
        <v>7137616</v>
      </c>
      <c r="H50" s="70">
        <f>C77</f>
        <v>29809000</v>
      </c>
      <c r="I50" s="71">
        <f>C79</f>
        <v>28267915</v>
      </c>
      <c r="J50" s="71"/>
      <c r="K50" s="71"/>
      <c r="L50" s="72"/>
      <c r="M50" s="72"/>
      <c r="N50" s="72"/>
      <c r="O50" s="72"/>
      <c r="P50" s="72"/>
      <c r="Q50" s="72"/>
      <c r="R50" s="73"/>
      <c r="S50" s="73"/>
      <c r="T50" s="73"/>
      <c r="U50" s="74"/>
      <c r="V50" s="74"/>
    </row>
    <row r="51" spans="1:22" ht="15.5" x14ac:dyDescent="0.35">
      <c r="A51" s="89">
        <v>45680</v>
      </c>
      <c r="B51" s="89">
        <v>45606</v>
      </c>
      <c r="C51" s="90">
        <v>7010820</v>
      </c>
      <c r="E51" s="4">
        <v>45323</v>
      </c>
      <c r="F51" s="75"/>
      <c r="G51" s="75">
        <f>C80</f>
        <v>42950003</v>
      </c>
      <c r="H51" s="76">
        <v>534170</v>
      </c>
      <c r="I51" s="77">
        <v>9928518</v>
      </c>
      <c r="J51" s="77">
        <v>1180575</v>
      </c>
      <c r="K51" s="78"/>
      <c r="L51" s="73"/>
      <c r="M51" s="73"/>
      <c r="N51" s="73"/>
      <c r="O51" s="73"/>
      <c r="P51" s="73"/>
      <c r="Q51" s="73"/>
      <c r="R51" s="73"/>
      <c r="S51" s="73"/>
      <c r="T51" s="73"/>
      <c r="U51" s="74"/>
      <c r="V51" s="74"/>
    </row>
    <row r="52" spans="1:22" ht="15.5" x14ac:dyDescent="0.35">
      <c r="A52" s="89">
        <v>45681</v>
      </c>
      <c r="B52" s="89">
        <v>45606</v>
      </c>
      <c r="C52" s="90">
        <v>8439710</v>
      </c>
      <c r="E52" s="4">
        <v>45352</v>
      </c>
      <c r="F52" s="75"/>
      <c r="G52" s="75"/>
      <c r="H52" s="75"/>
      <c r="I52" s="77">
        <v>13331739</v>
      </c>
      <c r="J52" s="78">
        <v>1247040</v>
      </c>
      <c r="K52" s="78">
        <f>C80</f>
        <v>42950003</v>
      </c>
      <c r="L52" s="73"/>
      <c r="M52" s="73"/>
      <c r="N52" s="73"/>
      <c r="O52" s="73"/>
      <c r="P52" s="73"/>
      <c r="Q52" s="73"/>
      <c r="R52" s="73"/>
      <c r="S52" s="73"/>
      <c r="T52" s="73"/>
      <c r="U52" s="74"/>
      <c r="V52" s="74"/>
    </row>
    <row r="53" spans="1:22" ht="15.5" x14ac:dyDescent="0.35">
      <c r="A53" s="89">
        <v>45687</v>
      </c>
      <c r="B53" s="89">
        <v>45677</v>
      </c>
      <c r="C53" s="90">
        <v>2212150</v>
      </c>
      <c r="E53" s="13">
        <v>45383</v>
      </c>
      <c r="F53" s="73"/>
      <c r="G53" s="73"/>
      <c r="H53" s="73"/>
      <c r="I53" s="75">
        <v>6700000</v>
      </c>
      <c r="J53" s="76">
        <v>15597640</v>
      </c>
      <c r="K53" s="75">
        <v>10189219</v>
      </c>
      <c r="L53" s="78"/>
      <c r="M53" s="78"/>
      <c r="N53" s="78"/>
      <c r="O53" s="73"/>
      <c r="P53" s="73"/>
      <c r="Q53" s="73"/>
      <c r="R53" s="78"/>
      <c r="S53" s="78"/>
      <c r="T53" s="78"/>
      <c r="U53" s="74"/>
      <c r="V53" s="74"/>
    </row>
    <row r="54" spans="1:22" ht="15.5" x14ac:dyDescent="0.35">
      <c r="A54" s="89">
        <v>45687</v>
      </c>
      <c r="B54" s="89">
        <v>45673</v>
      </c>
      <c r="C54" s="90">
        <v>1020500</v>
      </c>
      <c r="E54" s="13">
        <v>45413</v>
      </c>
      <c r="F54" s="73"/>
      <c r="G54" s="73"/>
      <c r="H54" s="73"/>
      <c r="I54" s="75"/>
      <c r="J54" s="75"/>
      <c r="K54" s="75">
        <v>1873260</v>
      </c>
      <c r="L54" s="78">
        <v>35669029</v>
      </c>
      <c r="M54" s="78"/>
      <c r="N54" s="78"/>
      <c r="O54" s="73"/>
      <c r="P54" s="73"/>
      <c r="Q54" s="73"/>
      <c r="R54" s="78"/>
      <c r="S54" s="78"/>
      <c r="T54" s="78"/>
      <c r="U54" s="74"/>
      <c r="V54" s="74"/>
    </row>
    <row r="55" spans="1:22" ht="15.5" x14ac:dyDescent="0.35">
      <c r="A55" s="89">
        <v>45698</v>
      </c>
      <c r="B55" s="89">
        <v>45660</v>
      </c>
      <c r="C55" s="90">
        <v>3106457</v>
      </c>
      <c r="E55" s="13">
        <v>45444</v>
      </c>
      <c r="F55" s="73"/>
      <c r="G55" s="73"/>
      <c r="H55" s="73"/>
      <c r="I55" s="75"/>
      <c r="J55" s="75"/>
      <c r="K55" s="75"/>
      <c r="L55" s="78">
        <v>4500000</v>
      </c>
      <c r="M55" s="78">
        <v>11459108</v>
      </c>
      <c r="N55" s="78"/>
      <c r="O55" s="73"/>
      <c r="P55" s="73"/>
      <c r="Q55" s="73"/>
      <c r="R55" s="78"/>
      <c r="S55" s="78"/>
      <c r="T55" s="79">
        <f>C73</f>
        <v>1863750</v>
      </c>
      <c r="U55" s="74"/>
      <c r="V55" s="74"/>
    </row>
    <row r="56" spans="1:22" ht="15.5" x14ac:dyDescent="0.35">
      <c r="A56" s="89">
        <v>45698</v>
      </c>
      <c r="B56" s="89">
        <v>45608</v>
      </c>
      <c r="C56" s="90">
        <v>8581800</v>
      </c>
      <c r="E56" s="4">
        <v>45474</v>
      </c>
      <c r="F56" s="73"/>
      <c r="G56" s="73"/>
      <c r="H56" s="73"/>
      <c r="I56" s="73"/>
      <c r="J56" s="73"/>
      <c r="K56" s="73"/>
      <c r="L56" s="75">
        <v>934638</v>
      </c>
      <c r="M56" s="75">
        <v>17460200</v>
      </c>
      <c r="N56" s="75">
        <v>37281107</v>
      </c>
      <c r="O56" s="78"/>
      <c r="P56" s="78"/>
      <c r="Q56" s="78"/>
      <c r="R56" s="73"/>
      <c r="S56" s="73"/>
      <c r="T56" s="73"/>
      <c r="U56" s="74"/>
      <c r="V56" s="74"/>
    </row>
    <row r="57" spans="1:22" ht="15.5" x14ac:dyDescent="0.35">
      <c r="A57" s="89">
        <v>45700</v>
      </c>
      <c r="B57" s="89">
        <v>45688</v>
      </c>
      <c r="C57" s="90">
        <v>8150000</v>
      </c>
      <c r="E57" s="4">
        <v>45505</v>
      </c>
      <c r="F57" s="73"/>
      <c r="G57" s="73"/>
      <c r="H57" s="73"/>
      <c r="I57" s="73"/>
      <c r="J57" s="73"/>
      <c r="K57" s="73"/>
      <c r="L57" s="75"/>
      <c r="M57" s="75">
        <v>728790</v>
      </c>
      <c r="N57" s="75">
        <v>11960178</v>
      </c>
      <c r="O57" s="78">
        <v>29390042</v>
      </c>
      <c r="P57" s="78"/>
      <c r="Q57" s="78"/>
      <c r="R57" s="73"/>
      <c r="S57" s="73"/>
      <c r="T57" s="73"/>
      <c r="U57" s="74"/>
      <c r="V57" s="74"/>
    </row>
    <row r="58" spans="1:22" ht="15.5" x14ac:dyDescent="0.35">
      <c r="A58" s="89">
        <v>45700</v>
      </c>
      <c r="B58" s="89">
        <v>46000</v>
      </c>
      <c r="C58" s="90">
        <v>4000000</v>
      </c>
      <c r="E58" s="4">
        <v>45536</v>
      </c>
      <c r="F58" s="73"/>
      <c r="G58" s="73"/>
      <c r="H58" s="73"/>
      <c r="I58" s="73"/>
      <c r="J58" s="73"/>
      <c r="K58" s="73"/>
      <c r="L58" s="75"/>
      <c r="M58" s="75"/>
      <c r="N58" s="75"/>
      <c r="O58" s="78">
        <v>22214203</v>
      </c>
      <c r="P58" s="78">
        <v>24428300</v>
      </c>
      <c r="Q58" s="78"/>
      <c r="R58" s="73"/>
      <c r="S58" s="73"/>
      <c r="T58" s="73"/>
      <c r="U58" s="74"/>
      <c r="V58" s="74"/>
    </row>
    <row r="59" spans="1:22" ht="15.5" x14ac:dyDescent="0.35">
      <c r="A59" s="89">
        <v>45700</v>
      </c>
      <c r="B59" s="89">
        <v>45630</v>
      </c>
      <c r="C59" s="90">
        <v>4000000</v>
      </c>
      <c r="E59" s="13">
        <v>45566</v>
      </c>
      <c r="F59" s="73"/>
      <c r="G59" s="73"/>
      <c r="H59" s="73"/>
      <c r="I59" s="73"/>
      <c r="J59" s="73"/>
      <c r="K59" s="73"/>
      <c r="L59" s="73"/>
      <c r="M59" s="73"/>
      <c r="N59" s="73"/>
      <c r="O59" s="75">
        <v>3647000</v>
      </c>
      <c r="P59" s="75">
        <v>19419733</v>
      </c>
      <c r="Q59" s="75">
        <v>8417325</v>
      </c>
      <c r="R59" s="78"/>
      <c r="S59" s="78"/>
      <c r="T59" s="78">
        <f>C66+C75</f>
        <v>82089722</v>
      </c>
      <c r="U59" s="74"/>
      <c r="V59" s="74"/>
    </row>
    <row r="60" spans="1:22" ht="15.5" x14ac:dyDescent="0.35">
      <c r="A60" s="89">
        <v>45700</v>
      </c>
      <c r="B60" s="89">
        <v>45645</v>
      </c>
      <c r="C60" s="90">
        <v>1200000</v>
      </c>
      <c r="E60" s="13">
        <v>45597</v>
      </c>
      <c r="F60" s="73"/>
      <c r="G60" s="73"/>
      <c r="H60" s="73"/>
      <c r="I60" s="73"/>
      <c r="J60" s="73"/>
      <c r="K60" s="73"/>
      <c r="L60" s="73"/>
      <c r="M60" s="73"/>
      <c r="N60" s="73"/>
      <c r="O60" s="75"/>
      <c r="P60" s="75">
        <v>148200</v>
      </c>
      <c r="Q60" s="75"/>
      <c r="R60" s="78">
        <f>C51+C52</f>
        <v>15450530</v>
      </c>
      <c r="S60" s="78">
        <f>C56+C62</f>
        <v>101423278</v>
      </c>
      <c r="T60" s="78">
        <f>C63+C69</f>
        <v>3399750</v>
      </c>
      <c r="U60" s="74"/>
      <c r="V60" s="74">
        <v>35280392</v>
      </c>
    </row>
    <row r="61" spans="1:22" ht="15.5" x14ac:dyDescent="0.35">
      <c r="A61" s="89">
        <v>45713</v>
      </c>
      <c r="B61" s="89">
        <v>45697</v>
      </c>
      <c r="C61" s="90">
        <v>19020322</v>
      </c>
      <c r="E61" s="13">
        <v>45627</v>
      </c>
      <c r="F61" s="73"/>
      <c r="G61" s="73"/>
      <c r="H61" s="73"/>
      <c r="I61" s="73"/>
      <c r="J61" s="73"/>
      <c r="K61" s="73"/>
      <c r="L61" s="73"/>
      <c r="M61" s="73"/>
      <c r="N61" s="73"/>
      <c r="O61" s="75"/>
      <c r="P61" s="75"/>
      <c r="Q61" s="75"/>
      <c r="R61" s="78">
        <f>C48+C49+C50</f>
        <v>18033926</v>
      </c>
      <c r="S61" s="78">
        <f>C58+C59+C60</f>
        <v>9200000</v>
      </c>
      <c r="T61" s="78"/>
      <c r="U61" s="74"/>
      <c r="V61" s="74"/>
    </row>
    <row r="62" spans="1:22" ht="15.5" x14ac:dyDescent="0.35">
      <c r="A62" s="89">
        <v>45714</v>
      </c>
      <c r="B62" s="89">
        <v>45605</v>
      </c>
      <c r="C62" s="90">
        <v>92841478</v>
      </c>
      <c r="E62" s="18">
        <v>45658</v>
      </c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5">
        <f>C53+C54</f>
        <v>3232650</v>
      </c>
      <c r="S62" s="75">
        <f>C55+C57</f>
        <v>11256457</v>
      </c>
      <c r="T62" s="75">
        <f>C64+C67+C68+C72+C76</f>
        <v>12244835</v>
      </c>
      <c r="U62" s="74"/>
      <c r="V62" s="74"/>
    </row>
    <row r="63" spans="1:22" ht="15.5" x14ac:dyDescent="0.35">
      <c r="A63" s="89">
        <v>45721</v>
      </c>
      <c r="B63" s="89">
        <v>45985</v>
      </c>
      <c r="C63" s="90">
        <v>1549750</v>
      </c>
      <c r="E63" s="18">
        <v>45689</v>
      </c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5"/>
      <c r="S63" s="75">
        <f>C61+C65</f>
        <v>21564532</v>
      </c>
      <c r="T63" s="75">
        <f>C70+C74</f>
        <v>5514575</v>
      </c>
      <c r="U63" s="74"/>
      <c r="V63" s="74"/>
    </row>
    <row r="64" spans="1:22" ht="15.5" x14ac:dyDescent="0.35">
      <c r="A64" s="89">
        <v>45722</v>
      </c>
      <c r="B64" s="89">
        <v>45663</v>
      </c>
      <c r="C64" s="90">
        <v>2607385</v>
      </c>
      <c r="E64" s="18">
        <v>45717</v>
      </c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5"/>
      <c r="S64" s="75"/>
      <c r="T64" s="75">
        <f>C71</f>
        <v>5341225</v>
      </c>
      <c r="U64" s="74"/>
      <c r="V64" s="74">
        <v>28267915</v>
      </c>
    </row>
    <row r="65" spans="1:22" ht="15.5" x14ac:dyDescent="0.35">
      <c r="A65" s="89">
        <v>45695</v>
      </c>
      <c r="B65" s="89">
        <v>45692</v>
      </c>
      <c r="C65" s="90">
        <v>2544210</v>
      </c>
      <c r="E65" s="20">
        <v>45748</v>
      </c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>
        <v>42950003</v>
      </c>
    </row>
    <row r="66" spans="1:22" ht="15.5" x14ac:dyDescent="0.35">
      <c r="A66" s="89">
        <v>45730</v>
      </c>
      <c r="B66" s="89">
        <v>45588</v>
      </c>
      <c r="C66" s="90">
        <v>1700000</v>
      </c>
      <c r="E66" s="20">
        <v>45778</v>
      </c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</row>
    <row r="67" spans="1:22" ht="15.5" x14ac:dyDescent="0.35">
      <c r="A67" s="89">
        <v>45730</v>
      </c>
      <c r="B67" s="89">
        <v>45686</v>
      </c>
      <c r="C67" s="90">
        <v>3500000</v>
      </c>
    </row>
    <row r="68" spans="1:22" ht="15.5" x14ac:dyDescent="0.35">
      <c r="A68" s="89">
        <v>45730</v>
      </c>
      <c r="B68" s="89">
        <v>45675</v>
      </c>
      <c r="C68" s="90">
        <v>3500000</v>
      </c>
    </row>
    <row r="69" spans="1:22" ht="15.5" x14ac:dyDescent="0.35">
      <c r="A69" s="89">
        <v>45735</v>
      </c>
      <c r="B69" s="89">
        <v>45617</v>
      </c>
      <c r="C69" s="90">
        <v>1850000</v>
      </c>
    </row>
    <row r="70" spans="1:22" ht="15.5" x14ac:dyDescent="0.35">
      <c r="A70" s="89">
        <v>45735</v>
      </c>
      <c r="B70" s="89">
        <v>45714</v>
      </c>
      <c r="C70" s="90">
        <v>1300000</v>
      </c>
    </row>
    <row r="71" spans="1:22" ht="15.5" x14ac:dyDescent="0.35">
      <c r="A71" s="89">
        <v>45735</v>
      </c>
      <c r="B71" s="89">
        <v>45733</v>
      </c>
      <c r="C71" s="90">
        <v>5341225</v>
      </c>
    </row>
    <row r="72" spans="1:22" ht="15.5" x14ac:dyDescent="0.35">
      <c r="A72" s="89">
        <v>45735</v>
      </c>
      <c r="B72" s="89">
        <v>45665</v>
      </c>
      <c r="C72" s="90">
        <v>1437450</v>
      </c>
    </row>
    <row r="73" spans="1:22" ht="15.5" x14ac:dyDescent="0.35">
      <c r="A73" s="89">
        <v>45735</v>
      </c>
      <c r="B73" s="89">
        <v>45473</v>
      </c>
      <c r="C73" s="90">
        <v>1863750</v>
      </c>
    </row>
    <row r="74" spans="1:22" ht="15.5" x14ac:dyDescent="0.35">
      <c r="A74" s="89">
        <v>45737</v>
      </c>
      <c r="B74" s="89">
        <v>45712</v>
      </c>
      <c r="C74" s="90">
        <v>4214575</v>
      </c>
    </row>
    <row r="75" spans="1:22" ht="15.5" x14ac:dyDescent="0.35">
      <c r="A75" s="89">
        <v>45741</v>
      </c>
      <c r="B75" s="89">
        <v>45942</v>
      </c>
      <c r="C75" s="90">
        <v>80389722</v>
      </c>
    </row>
    <row r="76" spans="1:22" ht="15.5" x14ac:dyDescent="0.35">
      <c r="A76" s="89">
        <v>45742</v>
      </c>
      <c r="B76" s="89">
        <v>45676</v>
      </c>
      <c r="C76" s="90">
        <v>1200000</v>
      </c>
    </row>
    <row r="77" spans="1:22" x14ac:dyDescent="0.35">
      <c r="A77" s="64">
        <v>45797</v>
      </c>
      <c r="B77" s="80">
        <v>45625</v>
      </c>
      <c r="C77" s="65">
        <v>29809000</v>
      </c>
    </row>
    <row r="78" spans="1:22" x14ac:dyDescent="0.35">
      <c r="A78" s="64">
        <v>45798</v>
      </c>
      <c r="B78" s="80">
        <v>45625</v>
      </c>
      <c r="C78" s="65">
        <v>5471392</v>
      </c>
    </row>
    <row r="79" spans="1:22" x14ac:dyDescent="0.35">
      <c r="A79" s="64">
        <v>45805</v>
      </c>
      <c r="B79" s="80">
        <v>45735</v>
      </c>
      <c r="C79" s="65">
        <v>28267915</v>
      </c>
    </row>
    <row r="80" spans="1:22" x14ac:dyDescent="0.35">
      <c r="A80" s="64">
        <v>45805</v>
      </c>
      <c r="B80" s="80">
        <v>45760</v>
      </c>
      <c r="C80" s="65">
        <v>42950003</v>
      </c>
    </row>
  </sheetData>
  <sortState xmlns:xlrd2="http://schemas.microsoft.com/office/spreadsheetml/2017/richdata2" ref="A3:C47">
    <sortCondition ref="A3:A47"/>
  </sortState>
  <mergeCells count="5">
    <mergeCell ref="A1:C1"/>
    <mergeCell ref="E2:E3"/>
    <mergeCell ref="F2:V2"/>
    <mergeCell ref="E48:E49"/>
    <mergeCell ref="F48:V48"/>
  </mergeCells>
  <pageMargins left="0.7" right="0.7" top="0.75" bottom="0.75" header="0.3" footer="0.3"/>
  <ignoredErrors>
    <ignoredError sqref="R6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6F40-550E-4A42-AAFF-F9F675EA9B3A}">
  <dimension ref="A1:AJ109"/>
  <sheetViews>
    <sheetView zoomScale="30" zoomScaleNormal="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F7" sqref="A1:XFD1048576"/>
    </sheetView>
  </sheetViews>
  <sheetFormatPr defaultRowHeight="14.5" x14ac:dyDescent="0.35"/>
  <cols>
    <col min="1" max="1" width="11.90625" customWidth="1"/>
    <col min="2" max="2" width="13" customWidth="1"/>
    <col min="3" max="3" width="14.26953125" customWidth="1"/>
    <col min="4" max="4" width="13.36328125" customWidth="1"/>
    <col min="5" max="5" width="13.08984375" customWidth="1"/>
    <col min="6" max="6" width="15.54296875" customWidth="1"/>
    <col min="7" max="7" width="14.36328125" customWidth="1"/>
    <col min="8" max="8" width="17.54296875" customWidth="1"/>
    <col min="9" max="9" width="13.6328125" customWidth="1"/>
    <col min="10" max="10" width="15.26953125" customWidth="1"/>
    <col min="11" max="16" width="13.6328125" customWidth="1"/>
    <col min="17" max="17" width="13.26953125" customWidth="1"/>
    <col min="18" max="18" width="12.90625" customWidth="1"/>
    <col min="19" max="19" width="12.453125" customWidth="1"/>
    <col min="20" max="20" width="12.90625" customWidth="1"/>
    <col min="21" max="21" width="12.7265625" customWidth="1"/>
    <col min="22" max="22" width="11.7265625" customWidth="1"/>
    <col min="23" max="23" width="14" customWidth="1"/>
    <col min="24" max="24" width="13.08984375" customWidth="1"/>
    <col min="25" max="25" width="12.26953125" customWidth="1"/>
    <col min="26" max="26" width="13.54296875" customWidth="1"/>
    <col min="27" max="28" width="13.26953125" customWidth="1"/>
    <col min="29" max="29" width="12" customWidth="1"/>
    <col min="30" max="30" width="13.08984375" customWidth="1"/>
    <col min="31" max="31" width="12.1796875" customWidth="1"/>
    <col min="32" max="32" width="13.08984375" customWidth="1"/>
    <col min="33" max="33" width="14.54296875" customWidth="1"/>
    <col min="34" max="34" width="13.26953125" customWidth="1"/>
    <col min="35" max="35" width="12" customWidth="1"/>
    <col min="36" max="36" width="12.453125" customWidth="1"/>
    <col min="37" max="37" width="13.7265625" customWidth="1"/>
    <col min="38" max="38" width="13.08984375" customWidth="1"/>
    <col min="39" max="39" width="15.36328125" customWidth="1"/>
    <col min="40" max="40" width="12" customWidth="1"/>
    <col min="41" max="41" width="8.7265625" customWidth="1"/>
    <col min="42" max="42" width="13.08984375" customWidth="1"/>
  </cols>
  <sheetData>
    <row r="1" spans="1:36" x14ac:dyDescent="0.35">
      <c r="A1" s="121" t="s">
        <v>2</v>
      </c>
      <c r="B1" s="109" t="s">
        <v>1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S1" s="123" t="s">
        <v>2</v>
      </c>
      <c r="T1" s="117" t="s">
        <v>1</v>
      </c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36" x14ac:dyDescent="0.35">
      <c r="A2" s="122"/>
      <c r="B2" s="3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S2" s="124"/>
      <c r="T2" s="5">
        <v>45292</v>
      </c>
      <c r="U2" s="5">
        <v>45323</v>
      </c>
      <c r="V2" s="5">
        <v>45352</v>
      </c>
      <c r="W2" s="5">
        <v>45383</v>
      </c>
      <c r="X2" s="5">
        <v>45413</v>
      </c>
      <c r="Y2" s="5">
        <v>45444</v>
      </c>
      <c r="Z2" s="5">
        <v>45474</v>
      </c>
      <c r="AA2" s="5">
        <v>45505</v>
      </c>
      <c r="AB2" s="5">
        <v>45536</v>
      </c>
      <c r="AC2" s="5">
        <v>45566</v>
      </c>
      <c r="AD2" s="5">
        <v>45597</v>
      </c>
      <c r="AE2" s="5">
        <v>45627</v>
      </c>
      <c r="AF2" s="5">
        <v>45658</v>
      </c>
      <c r="AG2" s="5">
        <v>45689</v>
      </c>
      <c r="AH2" s="5">
        <v>45717</v>
      </c>
      <c r="AI2" s="22">
        <v>45748</v>
      </c>
      <c r="AJ2" s="22">
        <v>45778</v>
      </c>
    </row>
    <row r="3" spans="1:36" x14ac:dyDescent="0.35">
      <c r="A3" s="4">
        <v>45292</v>
      </c>
      <c r="B3" s="54">
        <f>T3</f>
        <v>5000000</v>
      </c>
      <c r="C3" s="55">
        <f>U3</f>
        <v>7137616</v>
      </c>
      <c r="D3" s="61"/>
      <c r="E3" s="61"/>
      <c r="F3" s="61"/>
      <c r="G3" s="61"/>
      <c r="H3" s="61">
        <v>122500000</v>
      </c>
      <c r="I3" s="61"/>
      <c r="J3" s="55"/>
      <c r="K3" s="61"/>
      <c r="L3" s="61"/>
      <c r="M3" s="55"/>
      <c r="N3" s="61"/>
      <c r="O3" s="61"/>
      <c r="P3" s="55"/>
      <c r="S3" s="4">
        <v>45292</v>
      </c>
      <c r="T3" s="24">
        <v>5000000</v>
      </c>
      <c r="U3" s="24">
        <v>7137616</v>
      </c>
      <c r="V3" s="25"/>
      <c r="W3" s="28"/>
      <c r="X3" s="28"/>
      <c r="Y3" s="28"/>
      <c r="Z3" s="84">
        <v>122500000</v>
      </c>
      <c r="AA3" s="48"/>
      <c r="AB3" s="48"/>
      <c r="AC3" s="19"/>
      <c r="AD3" s="19"/>
      <c r="AE3" s="19"/>
      <c r="AF3" s="14"/>
      <c r="AG3" s="14"/>
      <c r="AH3" s="14"/>
      <c r="AI3" s="21"/>
      <c r="AJ3" s="21"/>
    </row>
    <row r="4" spans="1:36" x14ac:dyDescent="0.35">
      <c r="A4" s="4">
        <v>45323</v>
      </c>
      <c r="B4" s="56">
        <f>DATA!G51</f>
        <v>42950003</v>
      </c>
      <c r="C4" s="55">
        <f>V4</f>
        <v>534170</v>
      </c>
      <c r="D4" s="55">
        <f>W4</f>
        <v>9928518</v>
      </c>
      <c r="E4" s="55">
        <f>X4</f>
        <v>1180575</v>
      </c>
      <c r="F4" s="55"/>
      <c r="G4" s="61"/>
      <c r="H4" s="61"/>
      <c r="I4" s="55"/>
      <c r="J4" s="61"/>
      <c r="K4" s="55"/>
      <c r="L4" s="61"/>
      <c r="M4" s="61"/>
      <c r="N4" s="55"/>
      <c r="O4" s="55"/>
      <c r="P4" s="55"/>
      <c r="S4" s="4">
        <v>45323</v>
      </c>
      <c r="T4" s="26"/>
      <c r="U4" s="83">
        <v>42950003</v>
      </c>
      <c r="V4" s="27">
        <v>534170</v>
      </c>
      <c r="W4" s="29">
        <v>9928518</v>
      </c>
      <c r="X4" s="29">
        <v>1180575</v>
      </c>
      <c r="Y4" s="30"/>
      <c r="Z4" s="47"/>
      <c r="AA4" s="47"/>
      <c r="AB4" s="47"/>
      <c r="AC4" s="14"/>
      <c r="AD4" s="14"/>
      <c r="AE4" s="14"/>
      <c r="AF4" s="14"/>
      <c r="AG4" s="14"/>
      <c r="AH4" s="14"/>
      <c r="AI4" s="21"/>
      <c r="AJ4" s="21"/>
    </row>
    <row r="5" spans="1:36" x14ac:dyDescent="0.35">
      <c r="A5" s="4">
        <v>45352</v>
      </c>
      <c r="B5" s="62">
        <f>DATA!H52</f>
        <v>0</v>
      </c>
      <c r="C5" s="55">
        <f>W5</f>
        <v>13331739</v>
      </c>
      <c r="D5" s="55">
        <f>X5+5000000</f>
        <v>6247040</v>
      </c>
      <c r="E5" s="55"/>
      <c r="F5" s="61"/>
      <c r="G5" s="55"/>
      <c r="H5" s="55"/>
      <c r="I5" s="55"/>
      <c r="J5" s="55"/>
      <c r="K5" s="55"/>
      <c r="L5" s="55"/>
      <c r="M5" s="55"/>
      <c r="N5" s="55"/>
      <c r="O5" s="55"/>
      <c r="P5" s="55"/>
      <c r="S5" s="4">
        <v>45352</v>
      </c>
      <c r="T5" s="26"/>
      <c r="U5" s="26"/>
      <c r="V5" s="26"/>
      <c r="W5" s="29">
        <v>13331739</v>
      </c>
      <c r="X5" s="30">
        <v>1247040</v>
      </c>
      <c r="Y5" s="30"/>
      <c r="Z5" s="47"/>
      <c r="AA5" s="47"/>
      <c r="AB5" s="47"/>
      <c r="AC5" s="14"/>
      <c r="AD5" s="14"/>
      <c r="AE5" s="14"/>
      <c r="AF5" s="14"/>
      <c r="AG5" s="14"/>
      <c r="AH5" s="14"/>
      <c r="AI5" s="21"/>
      <c r="AJ5" s="21"/>
    </row>
    <row r="6" spans="1:36" x14ac:dyDescent="0.35">
      <c r="A6" s="13">
        <v>45383</v>
      </c>
      <c r="B6" s="62">
        <f>W6</f>
        <v>6700000</v>
      </c>
      <c r="C6" s="56">
        <f>X6</f>
        <v>15597640</v>
      </c>
      <c r="D6" s="56">
        <f>Y6</f>
        <v>10189219</v>
      </c>
      <c r="E6" s="56"/>
      <c r="F6" s="56"/>
      <c r="G6" s="62"/>
      <c r="H6" s="56"/>
      <c r="I6" s="56"/>
      <c r="J6" s="56"/>
      <c r="K6" s="56"/>
      <c r="L6" s="56"/>
      <c r="M6" s="56"/>
      <c r="N6" s="56"/>
      <c r="O6" s="56"/>
      <c r="P6" s="56"/>
      <c r="S6" s="13">
        <v>45383</v>
      </c>
      <c r="T6" s="14"/>
      <c r="U6" s="14"/>
      <c r="V6" s="14"/>
      <c r="W6" s="26">
        <v>6700000</v>
      </c>
      <c r="X6" s="27">
        <v>15597640</v>
      </c>
      <c r="Y6" s="26">
        <v>10189219</v>
      </c>
      <c r="Z6" s="30"/>
      <c r="AA6" s="30"/>
      <c r="AB6" s="30"/>
      <c r="AC6" s="47"/>
      <c r="AD6" s="47"/>
      <c r="AE6" s="47"/>
      <c r="AF6" s="30"/>
      <c r="AG6" s="30"/>
      <c r="AH6" s="30"/>
      <c r="AI6" s="21"/>
      <c r="AJ6" s="21"/>
    </row>
    <row r="7" spans="1:36" x14ac:dyDescent="0.35">
      <c r="A7" s="13">
        <v>45413</v>
      </c>
      <c r="B7" s="56"/>
      <c r="C7" s="56">
        <f>Y7</f>
        <v>1873260</v>
      </c>
      <c r="D7" s="56">
        <f>Z7</f>
        <v>35669029</v>
      </c>
      <c r="E7" s="56"/>
      <c r="F7" s="62"/>
      <c r="G7" s="56"/>
      <c r="H7" s="62"/>
      <c r="I7" s="56"/>
      <c r="J7" s="56">
        <v>3250000</v>
      </c>
      <c r="K7" s="56"/>
      <c r="L7" s="56"/>
      <c r="M7" s="56"/>
      <c r="N7" s="56"/>
      <c r="O7" s="56"/>
      <c r="P7" s="56"/>
      <c r="S7" s="13">
        <v>45413</v>
      </c>
      <c r="T7" s="14"/>
      <c r="U7" s="14"/>
      <c r="V7" s="14"/>
      <c r="W7" s="26"/>
      <c r="X7" s="26"/>
      <c r="Y7" s="26">
        <v>1873260</v>
      </c>
      <c r="Z7" s="30">
        <v>35669029</v>
      </c>
      <c r="AA7" s="30"/>
      <c r="AB7" s="30"/>
      <c r="AC7" s="47"/>
      <c r="AD7" s="47"/>
      <c r="AE7" s="47"/>
      <c r="AF7" s="30">
        <v>3250000</v>
      </c>
      <c r="AG7" s="30"/>
      <c r="AH7" s="30"/>
      <c r="AI7" s="21"/>
      <c r="AJ7" s="21"/>
    </row>
    <row r="8" spans="1:36" x14ac:dyDescent="0.35">
      <c r="A8" s="13">
        <v>45444</v>
      </c>
      <c r="B8" s="62"/>
      <c r="C8" s="56">
        <f>Z8</f>
        <v>4500000</v>
      </c>
      <c r="D8" s="56">
        <f>AA8</f>
        <v>11459108</v>
      </c>
      <c r="E8" s="62"/>
      <c r="F8" s="56"/>
      <c r="G8" s="56"/>
      <c r="H8" s="56"/>
      <c r="I8" s="56"/>
      <c r="J8" s="56"/>
      <c r="K8" s="56">
        <f>AH8</f>
        <v>1863750</v>
      </c>
      <c r="L8" s="56"/>
      <c r="M8" s="56"/>
      <c r="N8" s="56"/>
      <c r="O8" s="56"/>
      <c r="P8" s="56"/>
      <c r="S8" s="13">
        <v>45444</v>
      </c>
      <c r="T8" s="14"/>
      <c r="U8" s="14"/>
      <c r="V8" s="14"/>
      <c r="W8" s="26"/>
      <c r="X8" s="26"/>
      <c r="Y8" s="26"/>
      <c r="Z8" s="30">
        <v>4500000</v>
      </c>
      <c r="AA8" s="30">
        <v>11459108</v>
      </c>
      <c r="AB8" s="30"/>
      <c r="AC8" s="47"/>
      <c r="AD8" s="47"/>
      <c r="AE8" s="47"/>
      <c r="AF8" s="30"/>
      <c r="AG8" s="30"/>
      <c r="AH8" s="31">
        <v>1863750</v>
      </c>
      <c r="AI8" s="21"/>
      <c r="AJ8" s="21"/>
    </row>
    <row r="9" spans="1:36" x14ac:dyDescent="0.35">
      <c r="A9" s="4">
        <v>45474</v>
      </c>
      <c r="B9" s="56">
        <f>Z9</f>
        <v>934638</v>
      </c>
      <c r="C9" s="56">
        <f>AA9</f>
        <v>17460200</v>
      </c>
      <c r="D9" s="56">
        <f>AB9</f>
        <v>37281107</v>
      </c>
      <c r="E9" s="56"/>
      <c r="F9" s="62"/>
      <c r="G9" s="56"/>
      <c r="H9" s="56"/>
      <c r="I9" s="56"/>
      <c r="J9" s="56"/>
      <c r="K9" s="56"/>
      <c r="L9" s="56"/>
      <c r="M9" s="56"/>
      <c r="N9" s="56"/>
      <c r="O9" s="56"/>
      <c r="P9" s="56"/>
      <c r="S9" s="4">
        <v>45474</v>
      </c>
      <c r="T9" s="14"/>
      <c r="U9" s="14"/>
      <c r="V9" s="14"/>
      <c r="W9" s="14"/>
      <c r="X9" s="14"/>
      <c r="Y9" s="14"/>
      <c r="Z9" s="26">
        <v>934638</v>
      </c>
      <c r="AA9" s="26">
        <v>17460200</v>
      </c>
      <c r="AB9" s="26">
        <v>37281107</v>
      </c>
      <c r="AC9" s="30"/>
      <c r="AD9" s="30"/>
      <c r="AE9" s="30"/>
      <c r="AF9" s="47"/>
      <c r="AG9" s="47"/>
      <c r="AH9" s="47"/>
      <c r="AI9" s="21"/>
      <c r="AJ9" s="21"/>
    </row>
    <row r="10" spans="1:36" x14ac:dyDescent="0.35">
      <c r="A10" s="4">
        <v>45505</v>
      </c>
      <c r="B10" s="56">
        <f>AA10</f>
        <v>728790</v>
      </c>
      <c r="C10" s="56">
        <f>AB10</f>
        <v>11960178</v>
      </c>
      <c r="D10" s="56">
        <f>AC10</f>
        <v>29390042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S10" s="4">
        <v>45505</v>
      </c>
      <c r="T10" s="14"/>
      <c r="U10" s="14"/>
      <c r="V10" s="14"/>
      <c r="W10" s="14"/>
      <c r="X10" s="14"/>
      <c r="Y10" s="14"/>
      <c r="Z10" s="26"/>
      <c r="AA10" s="26">
        <v>728790</v>
      </c>
      <c r="AB10" s="26">
        <v>11960178</v>
      </c>
      <c r="AC10" s="30">
        <v>29390042</v>
      </c>
      <c r="AD10" s="30"/>
      <c r="AE10" s="30"/>
      <c r="AF10" s="47"/>
      <c r="AG10" s="47"/>
      <c r="AH10" s="47"/>
      <c r="AI10" s="21"/>
      <c r="AJ10" s="21"/>
    </row>
    <row r="11" spans="1:36" x14ac:dyDescent="0.35">
      <c r="A11" s="4">
        <v>45536</v>
      </c>
      <c r="B11" s="62"/>
      <c r="C11" s="56">
        <f>AC11</f>
        <v>22214203</v>
      </c>
      <c r="D11" s="56">
        <f>AD11</f>
        <v>24428300</v>
      </c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S11" s="4">
        <v>45536</v>
      </c>
      <c r="T11" s="14"/>
      <c r="U11" s="14"/>
      <c r="V11" s="14"/>
      <c r="W11" s="14"/>
      <c r="X11" s="14"/>
      <c r="Y11" s="14"/>
      <c r="Z11" s="26"/>
      <c r="AA11" s="26"/>
      <c r="AB11" s="26"/>
      <c r="AC11" s="30">
        <v>22214203</v>
      </c>
      <c r="AD11" s="30">
        <v>24428300</v>
      </c>
      <c r="AE11" s="30"/>
      <c r="AF11" s="47"/>
      <c r="AG11" s="47"/>
      <c r="AH11" s="47"/>
      <c r="AI11" s="21"/>
      <c r="AJ11" s="21"/>
    </row>
    <row r="12" spans="1:36" x14ac:dyDescent="0.35">
      <c r="A12" s="13">
        <v>45566</v>
      </c>
      <c r="B12" s="56">
        <f>AC12</f>
        <v>3647000</v>
      </c>
      <c r="C12" s="56">
        <f>AD12</f>
        <v>19419733</v>
      </c>
      <c r="D12" s="56">
        <f>AE12</f>
        <v>8417325</v>
      </c>
      <c r="E12" s="56"/>
      <c r="F12" s="62"/>
      <c r="G12" s="62">
        <f>AH12</f>
        <v>82089722</v>
      </c>
      <c r="H12" s="56"/>
      <c r="I12" s="56"/>
      <c r="J12" s="56"/>
      <c r="K12" s="56"/>
      <c r="L12" s="56"/>
      <c r="M12" s="56"/>
      <c r="N12" s="56"/>
      <c r="O12" s="56"/>
      <c r="P12" s="56"/>
      <c r="S12" s="13">
        <v>45566</v>
      </c>
      <c r="T12" s="14"/>
      <c r="U12" s="14"/>
      <c r="V12" s="14"/>
      <c r="W12" s="14"/>
      <c r="X12" s="14"/>
      <c r="Y12" s="14"/>
      <c r="Z12" s="14"/>
      <c r="AA12" s="14"/>
      <c r="AB12" s="14"/>
      <c r="AC12" s="26">
        <v>3647000</v>
      </c>
      <c r="AD12" s="26">
        <v>19419733</v>
      </c>
      <c r="AE12" s="26">
        <v>8417325</v>
      </c>
      <c r="AF12" s="30"/>
      <c r="AG12" s="30"/>
      <c r="AH12" s="30">
        <v>82089722</v>
      </c>
      <c r="AI12" s="21"/>
      <c r="AJ12" s="21"/>
    </row>
    <row r="13" spans="1:36" x14ac:dyDescent="0.35">
      <c r="A13" s="13">
        <v>45597</v>
      </c>
      <c r="B13" s="56">
        <f>AD13</f>
        <v>148200</v>
      </c>
      <c r="C13" s="56">
        <f>AE13</f>
        <v>0</v>
      </c>
      <c r="D13" s="56">
        <f>AF13</f>
        <v>15450530</v>
      </c>
      <c r="E13" s="56">
        <f>AG13</f>
        <v>101423278</v>
      </c>
      <c r="F13" s="56">
        <f>AH13</f>
        <v>3399750</v>
      </c>
      <c r="G13" s="56"/>
      <c r="H13" s="56"/>
      <c r="I13" s="56"/>
      <c r="J13" s="56"/>
      <c r="K13" s="56"/>
      <c r="L13" s="56"/>
      <c r="M13" s="56"/>
      <c r="N13" s="56"/>
      <c r="O13" s="56"/>
      <c r="P13" s="56"/>
      <c r="S13" s="13">
        <v>45597</v>
      </c>
      <c r="T13" s="14"/>
      <c r="U13" s="14"/>
      <c r="V13" s="14"/>
      <c r="W13" s="14"/>
      <c r="X13" s="14"/>
      <c r="Y13" s="14"/>
      <c r="Z13" s="14"/>
      <c r="AA13" s="14"/>
      <c r="AB13" s="14"/>
      <c r="AC13" s="26"/>
      <c r="AD13" s="26">
        <v>148200</v>
      </c>
      <c r="AE13" s="26"/>
      <c r="AF13" s="30">
        <v>15450530</v>
      </c>
      <c r="AG13" s="30">
        <v>101423278</v>
      </c>
      <c r="AH13" s="30">
        <v>3399750</v>
      </c>
      <c r="AI13" s="21"/>
      <c r="AJ13" s="21">
        <v>35280392</v>
      </c>
    </row>
    <row r="14" spans="1:36" x14ac:dyDescent="0.35">
      <c r="A14" s="13">
        <v>45627</v>
      </c>
      <c r="B14" s="56"/>
      <c r="C14" s="56">
        <f>AF14</f>
        <v>18033926</v>
      </c>
      <c r="D14" s="56">
        <f>AG14</f>
        <v>9200000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S14" s="13">
        <v>45627</v>
      </c>
      <c r="T14" s="14"/>
      <c r="U14" s="14"/>
      <c r="V14" s="14"/>
      <c r="W14" s="14"/>
      <c r="X14" s="14"/>
      <c r="Y14" s="14"/>
      <c r="Z14" s="14"/>
      <c r="AA14" s="14"/>
      <c r="AB14" s="14"/>
      <c r="AC14" s="26"/>
      <c r="AD14" s="26"/>
      <c r="AE14" s="26"/>
      <c r="AF14" s="30">
        <v>18033926</v>
      </c>
      <c r="AG14" s="30">
        <v>9200000</v>
      </c>
      <c r="AH14" s="30"/>
      <c r="AI14" s="21"/>
      <c r="AJ14" s="21"/>
    </row>
    <row r="15" spans="1:36" x14ac:dyDescent="0.35">
      <c r="A15" s="18">
        <v>45658</v>
      </c>
      <c r="B15" s="56">
        <f>AF15</f>
        <v>3232650</v>
      </c>
      <c r="C15" s="56">
        <f>AG15</f>
        <v>11256457</v>
      </c>
      <c r="D15" s="62">
        <f>AH15</f>
        <v>12244835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S15" s="18">
        <v>45658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26">
        <v>3232650</v>
      </c>
      <c r="AG15" s="26">
        <v>11256457</v>
      </c>
      <c r="AH15" s="26">
        <v>12244835</v>
      </c>
      <c r="AI15" s="21"/>
      <c r="AJ15" s="21"/>
    </row>
    <row r="16" spans="1:36" x14ac:dyDescent="0.35">
      <c r="A16" s="18">
        <v>45689</v>
      </c>
      <c r="B16" s="56">
        <f>AG16</f>
        <v>21564532</v>
      </c>
      <c r="C16" s="56">
        <f>AH16</f>
        <v>5514575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S16" s="18">
        <v>45689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56"/>
      <c r="AG16" s="56">
        <v>21564532</v>
      </c>
      <c r="AH16" s="62">
        <v>5514575</v>
      </c>
      <c r="AI16" s="21"/>
      <c r="AJ16" s="21"/>
    </row>
    <row r="17" spans="1:36" x14ac:dyDescent="0.35">
      <c r="A17" s="18">
        <v>45717</v>
      </c>
      <c r="B17" s="56">
        <f>AH17</f>
        <v>7341225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S17" s="18">
        <v>45717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26"/>
      <c r="AG17" s="26"/>
      <c r="AH17" s="26">
        <v>7341225</v>
      </c>
      <c r="AI17" s="21"/>
      <c r="AJ17" s="21">
        <v>28267915</v>
      </c>
    </row>
    <row r="18" spans="1:36" x14ac:dyDescent="0.35">
      <c r="S18" s="20">
        <v>45748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>
        <v>42950003</v>
      </c>
    </row>
    <row r="19" spans="1:36" x14ac:dyDescent="0.35">
      <c r="A19" s="1" t="s">
        <v>10</v>
      </c>
      <c r="S19" s="20">
        <v>45778</v>
      </c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</row>
    <row r="20" spans="1:36" x14ac:dyDescent="0.35">
      <c r="A20" s="121" t="s">
        <v>2</v>
      </c>
      <c r="B20" s="109" t="s">
        <v>1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</row>
    <row r="21" spans="1:36" x14ac:dyDescent="0.35">
      <c r="A21" s="122"/>
      <c r="B21" s="3">
        <v>0</v>
      </c>
      <c r="C21" s="3">
        <v>1</v>
      </c>
      <c r="D21" s="3">
        <v>2</v>
      </c>
      <c r="E21" s="3">
        <v>3</v>
      </c>
      <c r="F21" s="3">
        <v>4</v>
      </c>
      <c r="G21" s="3">
        <v>5</v>
      </c>
      <c r="H21" s="3">
        <v>6</v>
      </c>
      <c r="I21" s="3">
        <v>7</v>
      </c>
      <c r="J21" s="3">
        <v>8</v>
      </c>
      <c r="K21" s="3">
        <v>9</v>
      </c>
      <c r="L21" s="3">
        <v>10</v>
      </c>
      <c r="M21" s="3">
        <v>11</v>
      </c>
      <c r="N21" s="3">
        <v>12</v>
      </c>
      <c r="O21" s="3">
        <v>13</v>
      </c>
      <c r="P21" s="3">
        <v>14</v>
      </c>
    </row>
    <row r="22" spans="1:36" x14ac:dyDescent="0.35">
      <c r="A22" s="4">
        <v>45292</v>
      </c>
      <c r="B22" s="54">
        <f>SUM(B3)</f>
        <v>5000000</v>
      </c>
      <c r="C22" s="55">
        <f>SUM($B$3:C3)</f>
        <v>12137616</v>
      </c>
      <c r="D22" s="55">
        <f>SUM($B$3:D3)</f>
        <v>12137616</v>
      </c>
      <c r="E22" s="55">
        <f>SUM($B$3:E3)</f>
        <v>12137616</v>
      </c>
      <c r="F22" s="55">
        <f>SUM($B$3:F3)</f>
        <v>12137616</v>
      </c>
      <c r="G22" s="55">
        <f>SUM($B$3:G3)</f>
        <v>12137616</v>
      </c>
      <c r="H22" s="55">
        <f>SUM($B$3:H3)</f>
        <v>134637616</v>
      </c>
      <c r="I22" s="55">
        <f>SUM($B$3:I3)</f>
        <v>134637616</v>
      </c>
      <c r="J22" s="55">
        <f>SUM($B$3:J3)</f>
        <v>134637616</v>
      </c>
      <c r="K22" s="55">
        <f>SUM($B$3:K3)</f>
        <v>134637616</v>
      </c>
      <c r="L22" s="55">
        <f>SUM($B$3:L3)</f>
        <v>134637616</v>
      </c>
      <c r="M22" s="55">
        <f>SUM($B$3:M3)</f>
        <v>134637616</v>
      </c>
      <c r="N22" s="55">
        <f>SUM($B$3:N3)</f>
        <v>134637616</v>
      </c>
      <c r="O22" s="55">
        <f>SUM($B$3:O3)</f>
        <v>134637616</v>
      </c>
      <c r="P22" s="55">
        <f>SUM($B$3:P3)</f>
        <v>134637616</v>
      </c>
    </row>
    <row r="23" spans="1:36" x14ac:dyDescent="0.35">
      <c r="A23" s="4">
        <v>45323</v>
      </c>
      <c r="B23" s="54">
        <f t="shared" ref="B23:B36" si="0">SUM(B4)</f>
        <v>42950003</v>
      </c>
      <c r="C23" s="55">
        <f>SUM($B$4:C4)</f>
        <v>43484173</v>
      </c>
      <c r="D23" s="55">
        <f>SUM($B$4:D4)</f>
        <v>53412691</v>
      </c>
      <c r="E23" s="55">
        <f>SUM($B$4:E4)</f>
        <v>54593266</v>
      </c>
      <c r="F23" s="55">
        <f>SUM($B$4:F4)</f>
        <v>54593266</v>
      </c>
      <c r="G23" s="55">
        <f>SUM($B$4:G4)</f>
        <v>54593266</v>
      </c>
      <c r="H23" s="55">
        <f>SUM($B$4:H4)</f>
        <v>54593266</v>
      </c>
      <c r="I23" s="55">
        <f>SUM($B$4:I4)</f>
        <v>54593266</v>
      </c>
      <c r="J23" s="55">
        <f>SUM($B$4:J4)</f>
        <v>54593266</v>
      </c>
      <c r="K23" s="55">
        <f>SUM($B$4:K4)</f>
        <v>54593266</v>
      </c>
      <c r="L23" s="55">
        <f>SUM($B$4:L4)</f>
        <v>54593266</v>
      </c>
      <c r="M23" s="55">
        <f>SUM($B$4:M4)</f>
        <v>54593266</v>
      </c>
      <c r="N23" s="55">
        <f>SUM($B$4:N4)</f>
        <v>54593266</v>
      </c>
      <c r="O23" s="55">
        <f>SUM($B$4:O4)</f>
        <v>54593266</v>
      </c>
      <c r="P23" s="55"/>
    </row>
    <row r="24" spans="1:36" x14ac:dyDescent="0.35">
      <c r="A24" s="4">
        <v>45352</v>
      </c>
      <c r="B24" s="54">
        <f t="shared" si="0"/>
        <v>0</v>
      </c>
      <c r="C24" s="55">
        <f>SUM($B$5:C5)</f>
        <v>13331739</v>
      </c>
      <c r="D24" s="55">
        <f>SUM($B$5:D5)</f>
        <v>19578779</v>
      </c>
      <c r="E24" s="55">
        <f>SUM($B$5:E5)</f>
        <v>19578779</v>
      </c>
      <c r="F24" s="55">
        <f>SUM($B$5:F5)</f>
        <v>19578779</v>
      </c>
      <c r="G24" s="55">
        <f>SUM($B$5:G5)</f>
        <v>19578779</v>
      </c>
      <c r="H24" s="55">
        <f>SUM($B$5:H5)</f>
        <v>19578779</v>
      </c>
      <c r="I24" s="55">
        <f>SUM($B$5:I5)</f>
        <v>19578779</v>
      </c>
      <c r="J24" s="55">
        <f>SUM($B$5:J5)</f>
        <v>19578779</v>
      </c>
      <c r="K24" s="55">
        <f>SUM($B$5:K5)</f>
        <v>19578779</v>
      </c>
      <c r="L24" s="55">
        <f>SUM($B$5:L5)</f>
        <v>19578779</v>
      </c>
      <c r="M24" s="55">
        <f>SUM($B$5:M5)</f>
        <v>19578779</v>
      </c>
      <c r="N24" s="55">
        <f>SUM($B$5:N5)</f>
        <v>19578779</v>
      </c>
      <c r="O24" s="55"/>
      <c r="P24" s="55"/>
    </row>
    <row r="25" spans="1:36" x14ac:dyDescent="0.35">
      <c r="A25" s="13">
        <v>45383</v>
      </c>
      <c r="B25" s="54">
        <f t="shared" si="0"/>
        <v>6700000</v>
      </c>
      <c r="C25" s="55">
        <f>SUM($B$6:C6)</f>
        <v>22297640</v>
      </c>
      <c r="D25" s="55">
        <f>SUM($B$6:D6)</f>
        <v>32486859</v>
      </c>
      <c r="E25" s="55">
        <f>SUM($B$6:E6)</f>
        <v>32486859</v>
      </c>
      <c r="F25" s="55">
        <f>SUM($B$6:F6)</f>
        <v>32486859</v>
      </c>
      <c r="G25" s="55">
        <f>SUM($B$6:G6)</f>
        <v>32486859</v>
      </c>
      <c r="H25" s="55">
        <f>SUM($B$6:H6)</f>
        <v>32486859</v>
      </c>
      <c r="I25" s="55">
        <f>SUM($B$6:I6)</f>
        <v>32486859</v>
      </c>
      <c r="J25" s="55">
        <f>SUM($B$6:J6)</f>
        <v>32486859</v>
      </c>
      <c r="K25" s="55">
        <f>SUM($B$6:K6)</f>
        <v>32486859</v>
      </c>
      <c r="L25" s="55">
        <f>SUM($B$6:L6)</f>
        <v>32486859</v>
      </c>
      <c r="M25" s="55">
        <f>SUM($B$6:M6)</f>
        <v>32486859</v>
      </c>
      <c r="N25" s="56"/>
      <c r="O25" s="56"/>
      <c r="P25" s="56"/>
    </row>
    <row r="26" spans="1:36" x14ac:dyDescent="0.35">
      <c r="A26" s="13">
        <v>45413</v>
      </c>
      <c r="B26" s="54">
        <f t="shared" si="0"/>
        <v>0</v>
      </c>
      <c r="C26" s="55">
        <f>SUM($B$7:C7)</f>
        <v>1873260</v>
      </c>
      <c r="D26" s="55">
        <f>SUM($B$7:D7)</f>
        <v>37542289</v>
      </c>
      <c r="E26" s="55">
        <f>SUM($B$7:E7)</f>
        <v>37542289</v>
      </c>
      <c r="F26" s="55">
        <f>SUM($B$7:F7)</f>
        <v>37542289</v>
      </c>
      <c r="G26" s="55">
        <f>SUM($B$7:G7)</f>
        <v>37542289</v>
      </c>
      <c r="H26" s="55">
        <f>SUM($B$7:H7)</f>
        <v>37542289</v>
      </c>
      <c r="I26" s="55">
        <f>SUM($B$7:I7)</f>
        <v>37542289</v>
      </c>
      <c r="J26" s="55">
        <f>SUM($B$7:J7)</f>
        <v>40792289</v>
      </c>
      <c r="K26" s="55">
        <f>SUM($B$7:K7)</f>
        <v>40792289</v>
      </c>
      <c r="L26" s="55">
        <f>SUM($B$7:L7)</f>
        <v>40792289</v>
      </c>
      <c r="M26" s="56"/>
      <c r="N26" s="56"/>
      <c r="O26" s="56"/>
      <c r="P26" s="56"/>
    </row>
    <row r="27" spans="1:36" x14ac:dyDescent="0.35">
      <c r="A27" s="13">
        <v>45444</v>
      </c>
      <c r="B27" s="54">
        <f t="shared" si="0"/>
        <v>0</v>
      </c>
      <c r="C27" s="55">
        <f>SUM($B$8:C8)</f>
        <v>4500000</v>
      </c>
      <c r="D27" s="55">
        <f>SUM($B$8:D8)</f>
        <v>15959108</v>
      </c>
      <c r="E27" s="55">
        <f>SUM($B$8:E8)</f>
        <v>15959108</v>
      </c>
      <c r="F27" s="55">
        <f>SUM($B$8:F8)</f>
        <v>15959108</v>
      </c>
      <c r="G27" s="55">
        <f>SUM($B$8:G8)</f>
        <v>15959108</v>
      </c>
      <c r="H27" s="55">
        <f>SUM($B$8:H8)</f>
        <v>15959108</v>
      </c>
      <c r="I27" s="55">
        <f>SUM($B$8:I8)</f>
        <v>15959108</v>
      </c>
      <c r="J27" s="55">
        <f>SUM($B$8:J8)</f>
        <v>15959108</v>
      </c>
      <c r="K27" s="55">
        <f>SUM($B$8:K8)</f>
        <v>17822858</v>
      </c>
      <c r="L27" s="56"/>
      <c r="M27" s="56"/>
      <c r="N27" s="56"/>
      <c r="O27" s="56"/>
      <c r="P27" s="56"/>
    </row>
    <row r="28" spans="1:36" x14ac:dyDescent="0.35">
      <c r="A28" s="4">
        <v>45474</v>
      </c>
      <c r="B28" s="54">
        <f t="shared" si="0"/>
        <v>934638</v>
      </c>
      <c r="C28" s="55">
        <f>SUM($B$9:C9)</f>
        <v>18394838</v>
      </c>
      <c r="D28" s="55">
        <f>SUM($B$9:D9)</f>
        <v>55675945</v>
      </c>
      <c r="E28" s="55">
        <f>SUM($B$9:E9)</f>
        <v>55675945</v>
      </c>
      <c r="F28" s="55">
        <f>SUM($B$9:F9)</f>
        <v>55675945</v>
      </c>
      <c r="G28" s="55">
        <f>SUM($B$9:G9)</f>
        <v>55675945</v>
      </c>
      <c r="H28" s="55">
        <f>SUM($B$9:H9)</f>
        <v>55675945</v>
      </c>
      <c r="I28" s="55">
        <f>SUM($B$9:I9)</f>
        <v>55675945</v>
      </c>
      <c r="J28" s="55">
        <f>SUM($B$9:J9)</f>
        <v>55675945</v>
      </c>
      <c r="K28" s="56"/>
      <c r="L28" s="56"/>
      <c r="M28" s="56"/>
      <c r="N28" s="56"/>
      <c r="O28" s="56"/>
      <c r="P28" s="56"/>
    </row>
    <row r="29" spans="1:36" x14ac:dyDescent="0.35">
      <c r="A29" s="4">
        <v>45505</v>
      </c>
      <c r="B29" s="54">
        <f t="shared" si="0"/>
        <v>728790</v>
      </c>
      <c r="C29" s="55">
        <f>SUM($B$10:C10)</f>
        <v>12688968</v>
      </c>
      <c r="D29" s="55">
        <f>SUM($B$10:D10)</f>
        <v>42079010</v>
      </c>
      <c r="E29" s="55">
        <f>SUM($B$10:E10)</f>
        <v>42079010</v>
      </c>
      <c r="F29" s="55">
        <f>SUM($B$10:F10)</f>
        <v>42079010</v>
      </c>
      <c r="G29" s="55">
        <f>SUM($B$10:G10)</f>
        <v>42079010</v>
      </c>
      <c r="H29" s="55">
        <f>SUM($B$10:H10)</f>
        <v>42079010</v>
      </c>
      <c r="I29" s="55">
        <f>SUM($B$10:I10)</f>
        <v>42079010</v>
      </c>
      <c r="J29" s="56"/>
      <c r="K29" s="56"/>
      <c r="L29" s="56"/>
      <c r="M29" s="56"/>
      <c r="N29" s="56"/>
      <c r="O29" s="56"/>
      <c r="P29" s="56"/>
    </row>
    <row r="30" spans="1:36" x14ac:dyDescent="0.35">
      <c r="A30" s="4">
        <v>45536</v>
      </c>
      <c r="B30" s="54">
        <f t="shared" si="0"/>
        <v>0</v>
      </c>
      <c r="C30" s="55">
        <f>SUM($B$11:C11)</f>
        <v>22214203</v>
      </c>
      <c r="D30" s="55">
        <f>SUM($B$11:D11)</f>
        <v>46642503</v>
      </c>
      <c r="E30" s="55">
        <f>SUM($B$11:E11)</f>
        <v>46642503</v>
      </c>
      <c r="F30" s="55">
        <f>SUM($B$11:F11)</f>
        <v>46642503</v>
      </c>
      <c r="G30" s="55">
        <f>SUM($B$11:G11)</f>
        <v>46642503</v>
      </c>
      <c r="H30" s="55">
        <f>SUM($B$11:H11)</f>
        <v>46642503</v>
      </c>
      <c r="I30" s="56"/>
      <c r="J30" s="56"/>
      <c r="K30" s="56"/>
      <c r="L30" s="56"/>
      <c r="M30" s="56"/>
      <c r="N30" s="56"/>
      <c r="O30" s="56"/>
      <c r="P30" s="56"/>
    </row>
    <row r="31" spans="1:36" x14ac:dyDescent="0.35">
      <c r="A31" s="13">
        <v>45566</v>
      </c>
      <c r="B31" s="54">
        <f t="shared" si="0"/>
        <v>3647000</v>
      </c>
      <c r="C31" s="55">
        <f>SUM($B$12:C12)</f>
        <v>23066733</v>
      </c>
      <c r="D31" s="55">
        <f>SUM($B$12:D12)</f>
        <v>31484058</v>
      </c>
      <c r="E31" s="55">
        <f>SUM($B$12:E12)</f>
        <v>31484058</v>
      </c>
      <c r="F31" s="55">
        <f>SUM($B$12:F12)</f>
        <v>31484058</v>
      </c>
      <c r="G31" s="55">
        <f>SUM($B$12:G12)</f>
        <v>113573780</v>
      </c>
      <c r="H31" s="56"/>
      <c r="I31" s="56"/>
      <c r="J31" s="56"/>
      <c r="K31" s="56"/>
      <c r="L31" s="56"/>
      <c r="M31" s="56"/>
      <c r="N31" s="56"/>
      <c r="O31" s="56"/>
      <c r="P31" s="56"/>
    </row>
    <row r="32" spans="1:36" x14ac:dyDescent="0.35">
      <c r="A32" s="13">
        <v>45597</v>
      </c>
      <c r="B32" s="54">
        <f t="shared" si="0"/>
        <v>148200</v>
      </c>
      <c r="C32" s="55">
        <f>SUM($B$13:C13)</f>
        <v>148200</v>
      </c>
      <c r="D32" s="55">
        <f>SUM($B$13:D13)</f>
        <v>15598730</v>
      </c>
      <c r="E32" s="55">
        <f>SUM($B$13:E13)</f>
        <v>117022008</v>
      </c>
      <c r="F32" s="55">
        <f>SUM($B$13:F13)</f>
        <v>120421758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</row>
    <row r="33" spans="1:16" x14ac:dyDescent="0.35">
      <c r="A33" s="13">
        <v>45627</v>
      </c>
      <c r="B33" s="54">
        <f t="shared" si="0"/>
        <v>0</v>
      </c>
      <c r="C33" s="55">
        <f>SUM($B$14:C14)</f>
        <v>18033926</v>
      </c>
      <c r="D33" s="55">
        <f>SUM($B$14:D14)</f>
        <v>27233926</v>
      </c>
      <c r="E33" s="55">
        <f>SUM($B$14:E14)</f>
        <v>27233926</v>
      </c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</row>
    <row r="34" spans="1:16" x14ac:dyDescent="0.35">
      <c r="A34" s="18">
        <v>45658</v>
      </c>
      <c r="B34" s="54">
        <f t="shared" si="0"/>
        <v>3232650</v>
      </c>
      <c r="C34" s="55">
        <f>SUM($B$15:C15)</f>
        <v>14489107</v>
      </c>
      <c r="D34" s="55">
        <f>SUM($B$15:D15)</f>
        <v>26733942</v>
      </c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</row>
    <row r="35" spans="1:16" x14ac:dyDescent="0.35">
      <c r="A35" s="18">
        <v>45689</v>
      </c>
      <c r="B35" s="54">
        <f t="shared" si="0"/>
        <v>21564532</v>
      </c>
      <c r="C35" s="55">
        <f>SUM($B$16:C16)</f>
        <v>27079107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</row>
    <row r="36" spans="1:16" x14ac:dyDescent="0.35">
      <c r="A36" s="18">
        <v>45717</v>
      </c>
      <c r="B36" s="54">
        <f t="shared" si="0"/>
        <v>7341225</v>
      </c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</row>
    <row r="38" spans="1:16" s="39" customFormat="1" ht="29" x14ac:dyDescent="0.35">
      <c r="A38" s="41"/>
      <c r="B38" s="42" t="s">
        <v>11</v>
      </c>
      <c r="C38" s="42" t="s">
        <v>17</v>
      </c>
    </row>
    <row r="39" spans="1:16" x14ac:dyDescent="0.35">
      <c r="A39" s="33" t="s">
        <v>12</v>
      </c>
      <c r="B39" s="33">
        <f>SUM(C22:C35)/SUM(B22:B35)</f>
        <v>2.7529270581273395</v>
      </c>
      <c r="C39" s="32">
        <f>PRODUCT(B39:B52)</f>
        <v>12.289223560317566</v>
      </c>
      <c r="E39" s="57"/>
    </row>
    <row r="40" spans="1:16" x14ac:dyDescent="0.35">
      <c r="A40" s="34" t="s">
        <v>13</v>
      </c>
      <c r="B40" s="33">
        <f>SUM(D22:D34)/SUM(C22:C34)</f>
        <v>2.0157003952034294</v>
      </c>
      <c r="C40" s="32">
        <f>PRODUCT(B40:B52)</f>
        <v>4.4640570929900436</v>
      </c>
      <c r="E40" s="57"/>
    </row>
    <row r="41" spans="1:16" x14ac:dyDescent="0.35">
      <c r="A41" s="34" t="s">
        <v>14</v>
      </c>
      <c r="B41" s="33">
        <f>SUM(E22:E33)/SUM(D22:D33)</f>
        <v>1.26320050923333</v>
      </c>
      <c r="C41" s="32">
        <f>PRODUCT(B41:B52)</f>
        <v>2.2146431600711778</v>
      </c>
    </row>
    <row r="42" spans="1:16" x14ac:dyDescent="0.35">
      <c r="A42" s="35" t="s">
        <v>15</v>
      </c>
      <c r="B42" s="36">
        <f>SUM(F22:F32)/SUM(E22:E32)</f>
        <v>1.0073081243959432</v>
      </c>
      <c r="C42" s="32">
        <f>PRODUCT(B42:B52)</f>
        <v>1.753200021598553</v>
      </c>
    </row>
    <row r="43" spans="1:16" x14ac:dyDescent="0.35">
      <c r="A43" s="35" t="s">
        <v>16</v>
      </c>
      <c r="B43" s="36">
        <f>SUM(G22:G31)/SUM(F22:F31)</f>
        <v>1.2357684406936236</v>
      </c>
      <c r="C43" s="32">
        <f>PRODUCT(B43:B52)</f>
        <v>1.7404803745129147</v>
      </c>
    </row>
    <row r="44" spans="1:16" x14ac:dyDescent="0.35">
      <c r="A44" s="35" t="s">
        <v>34</v>
      </c>
      <c r="B44" s="36">
        <f>SUM(H22:H30)/SUM(G22:G30)</f>
        <v>1.3868070381514097</v>
      </c>
      <c r="C44" s="32">
        <f>PRODUCT(B44:B52)</f>
        <v>1.4084195041718348</v>
      </c>
    </row>
    <row r="45" spans="1:16" x14ac:dyDescent="0.35">
      <c r="A45" s="35" t="s">
        <v>35</v>
      </c>
      <c r="B45" s="36">
        <f>SUM(I22:I29)/SUM(H22:H29)</f>
        <v>1</v>
      </c>
      <c r="C45" s="32">
        <f>PRODUCT(B45:B52)</f>
        <v>1.015584335402014</v>
      </c>
    </row>
    <row r="46" spans="1:16" x14ac:dyDescent="0.35">
      <c r="A46" s="35" t="s">
        <v>36</v>
      </c>
      <c r="B46" s="36">
        <f>SUM(J22:J28)/SUM(I22:I28)</f>
        <v>1.00927315943464</v>
      </c>
      <c r="C46" s="32">
        <f>PRODUCT(B46:B52)</f>
        <v>1.015584335402014</v>
      </c>
    </row>
    <row r="47" spans="1:16" x14ac:dyDescent="0.35">
      <c r="A47" s="35" t="s">
        <v>37</v>
      </c>
      <c r="B47" s="36">
        <f>SUM(K22:K27)/SUM(J22:J27)</f>
        <v>1.0062531891474349</v>
      </c>
      <c r="C47" s="32">
        <f>PRODUCT(B47:B52)</f>
        <v>1.0062531891474349</v>
      </c>
    </row>
    <row r="48" spans="1:16" x14ac:dyDescent="0.35">
      <c r="A48" s="35" t="s">
        <v>38</v>
      </c>
      <c r="B48" s="36">
        <f>SUM(L22:L26)/SUM(K22:K26)</f>
        <v>1</v>
      </c>
      <c r="C48" s="32">
        <f>PRODUCT(B48:B52)</f>
        <v>1</v>
      </c>
    </row>
    <row r="49" spans="1:16" x14ac:dyDescent="0.35">
      <c r="A49" s="35" t="s">
        <v>39</v>
      </c>
      <c r="B49" s="36">
        <f>SUM(M22:M25)/SUM(L22:L25)</f>
        <v>1</v>
      </c>
      <c r="C49" s="32">
        <f>PRODUCT(B49:B52)</f>
        <v>1</v>
      </c>
    </row>
    <row r="50" spans="1:16" x14ac:dyDescent="0.35">
      <c r="A50" s="35" t="s">
        <v>40</v>
      </c>
      <c r="B50" s="36">
        <f>SUM(N22:N24)/SUM(M22:M24)</f>
        <v>1</v>
      </c>
      <c r="C50" s="32">
        <f>PRODUCT(B50:B52)</f>
        <v>1</v>
      </c>
    </row>
    <row r="51" spans="1:16" x14ac:dyDescent="0.35">
      <c r="A51" s="35" t="s">
        <v>41</v>
      </c>
      <c r="B51" s="36">
        <f>SUM(O22:O23)/SUM(N22:N23)</f>
        <v>1</v>
      </c>
      <c r="C51" s="32">
        <f>PRODUCT(B51:B52)</f>
        <v>1</v>
      </c>
    </row>
    <row r="52" spans="1:16" x14ac:dyDescent="0.35">
      <c r="A52" s="35" t="s">
        <v>42</v>
      </c>
      <c r="B52" s="36">
        <f>SUM(P22)/O22</f>
        <v>1</v>
      </c>
      <c r="C52" s="32">
        <f>PRODUCT(B52)</f>
        <v>1</v>
      </c>
    </row>
    <row r="53" spans="1:16" x14ac:dyDescent="0.35">
      <c r="A53" s="37"/>
      <c r="B53" s="38"/>
    </row>
    <row r="54" spans="1:16" ht="14.5" customHeight="1" x14ac:dyDescent="0.35">
      <c r="A54" s="97" t="s">
        <v>18</v>
      </c>
      <c r="B54" s="97"/>
      <c r="C54" s="97"/>
      <c r="D54" s="97"/>
      <c r="E54" s="97"/>
      <c r="F54" s="97"/>
      <c r="G54" s="40"/>
      <c r="H54" s="40"/>
      <c r="I54" s="40"/>
      <c r="J54" s="40"/>
      <c r="K54" s="40"/>
      <c r="L54" s="40"/>
      <c r="M54" s="40"/>
      <c r="N54" s="40"/>
      <c r="O54" s="40"/>
      <c r="P54" s="40"/>
    </row>
    <row r="55" spans="1:16" x14ac:dyDescent="0.35">
      <c r="A55" s="97"/>
      <c r="B55" s="97"/>
      <c r="C55" s="97"/>
      <c r="D55" s="97"/>
      <c r="E55" s="97"/>
      <c r="F55" s="97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1:16" s="39" customFormat="1" ht="28" x14ac:dyDescent="0.35">
      <c r="A56" s="49" t="s">
        <v>19</v>
      </c>
      <c r="B56" s="49" t="s">
        <v>20</v>
      </c>
      <c r="C56" s="49" t="s">
        <v>21</v>
      </c>
      <c r="D56" s="49" t="s">
        <v>22</v>
      </c>
    </row>
    <row r="57" spans="1:16" x14ac:dyDescent="0.35">
      <c r="A57" s="32">
        <v>1</v>
      </c>
      <c r="B57" s="32">
        <f>C52</f>
        <v>1</v>
      </c>
      <c r="C57" s="32">
        <f>1-(1/B57)</f>
        <v>0</v>
      </c>
      <c r="D57" s="58">
        <f>C57</f>
        <v>0</v>
      </c>
    </row>
    <row r="58" spans="1:16" x14ac:dyDescent="0.35">
      <c r="A58" s="32">
        <v>2</v>
      </c>
      <c r="B58" s="32">
        <f>C51</f>
        <v>1</v>
      </c>
      <c r="C58" s="32">
        <f t="shared" ref="C58:C71" si="1">1-(1/B58)</f>
        <v>0</v>
      </c>
      <c r="D58" s="58">
        <f t="shared" ref="D58:D71" si="2">C58</f>
        <v>0</v>
      </c>
    </row>
    <row r="59" spans="1:16" x14ac:dyDescent="0.35">
      <c r="A59" s="32">
        <v>3</v>
      </c>
      <c r="B59" s="32">
        <f>C50</f>
        <v>1</v>
      </c>
      <c r="C59" s="32">
        <f t="shared" si="1"/>
        <v>0</v>
      </c>
      <c r="D59" s="58">
        <f t="shared" si="2"/>
        <v>0</v>
      </c>
    </row>
    <row r="60" spans="1:16" x14ac:dyDescent="0.35">
      <c r="A60" s="32">
        <v>4</v>
      </c>
      <c r="B60" s="32">
        <f>C49</f>
        <v>1</v>
      </c>
      <c r="C60" s="32">
        <f t="shared" si="1"/>
        <v>0</v>
      </c>
      <c r="D60" s="58">
        <f t="shared" si="2"/>
        <v>0</v>
      </c>
    </row>
    <row r="61" spans="1:16" x14ac:dyDescent="0.35">
      <c r="A61" s="32">
        <v>5</v>
      </c>
      <c r="B61" s="32">
        <f>C48</f>
        <v>1</v>
      </c>
      <c r="C61" s="32">
        <f t="shared" si="1"/>
        <v>0</v>
      </c>
      <c r="D61" s="58">
        <f t="shared" si="2"/>
        <v>0</v>
      </c>
    </row>
    <row r="62" spans="1:16" x14ac:dyDescent="0.35">
      <c r="A62" s="32">
        <v>6</v>
      </c>
      <c r="B62" s="32">
        <f>C47</f>
        <v>1.0062531891474349</v>
      </c>
      <c r="C62" s="32">
        <f t="shared" si="1"/>
        <v>6.2143297679712051E-3</v>
      </c>
      <c r="D62" s="58">
        <f t="shared" si="2"/>
        <v>6.2143297679712051E-3</v>
      </c>
    </row>
    <row r="63" spans="1:16" x14ac:dyDescent="0.35">
      <c r="A63" s="32">
        <v>7</v>
      </c>
      <c r="B63" s="32">
        <f>C46</f>
        <v>1.015584335402014</v>
      </c>
      <c r="C63" s="32">
        <f t="shared" si="1"/>
        <v>1.5345190801751563E-2</v>
      </c>
      <c r="D63" s="58">
        <f t="shared" si="2"/>
        <v>1.5345190801751563E-2</v>
      </c>
    </row>
    <row r="64" spans="1:16" x14ac:dyDescent="0.35">
      <c r="A64" s="32">
        <v>8</v>
      </c>
      <c r="B64" s="32">
        <f>C45</f>
        <v>1.015584335402014</v>
      </c>
      <c r="C64" s="32">
        <f t="shared" si="1"/>
        <v>1.5345190801751563E-2</v>
      </c>
      <c r="D64" s="58">
        <f t="shared" si="2"/>
        <v>1.5345190801751563E-2</v>
      </c>
    </row>
    <row r="65" spans="1:11" x14ac:dyDescent="0.35">
      <c r="A65" s="32">
        <v>9</v>
      </c>
      <c r="B65" s="32">
        <f>C44</f>
        <v>1.4084195041718348</v>
      </c>
      <c r="C65" s="32">
        <f t="shared" si="1"/>
        <v>0.28998427170460817</v>
      </c>
      <c r="D65" s="58">
        <f t="shared" si="2"/>
        <v>0.28998427170460817</v>
      </c>
    </row>
    <row r="66" spans="1:11" x14ac:dyDescent="0.35">
      <c r="A66" s="32">
        <v>10</v>
      </c>
      <c r="B66" s="32">
        <f>C43</f>
        <v>1.7404803745129147</v>
      </c>
      <c r="C66" s="32">
        <f t="shared" si="1"/>
        <v>0.42544597764863801</v>
      </c>
      <c r="D66" s="58">
        <f t="shared" si="2"/>
        <v>0.42544597764863801</v>
      </c>
    </row>
    <row r="67" spans="1:11" x14ac:dyDescent="0.35">
      <c r="A67" s="32">
        <v>11</v>
      </c>
      <c r="B67" s="32">
        <f>C42</f>
        <v>1.753200021598553</v>
      </c>
      <c r="C67" s="32">
        <f t="shared" si="1"/>
        <v>0.42961442637434577</v>
      </c>
      <c r="D67" s="58">
        <f t="shared" si="2"/>
        <v>0.42961442637434577</v>
      </c>
    </row>
    <row r="68" spans="1:11" x14ac:dyDescent="0.35">
      <c r="A68" s="32">
        <v>12</v>
      </c>
      <c r="B68" s="32">
        <f>C41</f>
        <v>2.2146431600711778</v>
      </c>
      <c r="C68" s="32">
        <f t="shared" si="1"/>
        <v>0.54845998758199022</v>
      </c>
      <c r="D68" s="58">
        <f t="shared" si="2"/>
        <v>0.54845998758199022</v>
      </c>
    </row>
    <row r="69" spans="1:11" x14ac:dyDescent="0.35">
      <c r="A69" s="32">
        <v>13</v>
      </c>
      <c r="B69" s="32">
        <f>C40</f>
        <v>4.4640570929900436</v>
      </c>
      <c r="C69" s="32">
        <f t="shared" si="1"/>
        <v>0.77598852811037955</v>
      </c>
      <c r="D69" s="58">
        <f t="shared" si="2"/>
        <v>0.77598852811037955</v>
      </c>
    </row>
    <row r="70" spans="1:11" x14ac:dyDescent="0.35">
      <c r="A70" s="32">
        <v>14</v>
      </c>
      <c r="B70" s="32">
        <f>C39</f>
        <v>12.289223560317566</v>
      </c>
      <c r="C70" s="32">
        <f t="shared" si="1"/>
        <v>0.91862789417965807</v>
      </c>
      <c r="D70" s="58">
        <f t="shared" si="2"/>
        <v>0.91862789417965807</v>
      </c>
    </row>
    <row r="71" spans="1:11" x14ac:dyDescent="0.35">
      <c r="A71" s="32">
        <v>15</v>
      </c>
      <c r="B71" s="32">
        <f>C39</f>
        <v>12.289223560317566</v>
      </c>
      <c r="C71" s="32">
        <f t="shared" si="1"/>
        <v>0.91862789417965807</v>
      </c>
      <c r="D71" s="58">
        <f t="shared" si="2"/>
        <v>0.91862789417965807</v>
      </c>
    </row>
    <row r="73" spans="1:11" x14ac:dyDescent="0.35">
      <c r="A73" s="1" t="s">
        <v>23</v>
      </c>
    </row>
    <row r="74" spans="1:11" ht="28" x14ac:dyDescent="0.35">
      <c r="A74" s="49" t="s">
        <v>19</v>
      </c>
      <c r="B74" s="49" t="s">
        <v>24</v>
      </c>
      <c r="C74" s="49" t="s">
        <v>26</v>
      </c>
      <c r="D74" s="49" t="s">
        <v>25</v>
      </c>
      <c r="E74" s="49" t="s">
        <v>28</v>
      </c>
      <c r="F74" s="49" t="s">
        <v>29</v>
      </c>
      <c r="G74" s="49" t="s">
        <v>32</v>
      </c>
      <c r="H74" s="49" t="s">
        <v>33</v>
      </c>
      <c r="I74" s="59" t="s">
        <v>43</v>
      </c>
      <c r="J74" s="59" t="s">
        <v>50</v>
      </c>
      <c r="K74" s="59" t="s">
        <v>49</v>
      </c>
    </row>
    <row r="75" spans="1:11" x14ac:dyDescent="0.35">
      <c r="A75" s="32">
        <v>1</v>
      </c>
      <c r="B75" s="45">
        <f>P22</f>
        <v>134637616</v>
      </c>
      <c r="C75" s="46">
        <f t="shared" ref="C75:C86" si="3">B98</f>
        <v>291922566.38</v>
      </c>
      <c r="D75" s="58">
        <f>B75/C75</f>
        <v>0.46121003137777361</v>
      </c>
      <c r="E75" s="44">
        <f>AVERAGE(D75:D89)</f>
        <v>0.35483072931283394</v>
      </c>
      <c r="F75" s="46">
        <f>E75*C75</f>
        <v>103583097.13148957</v>
      </c>
      <c r="G75" s="46">
        <f>F75*D57</f>
        <v>0</v>
      </c>
      <c r="H75" s="125">
        <f>SUM(G75:G89)</f>
        <v>192541581.52182409</v>
      </c>
      <c r="I75" s="81">
        <f>IF(B75=0,0,ABS(B75-F75)/B75)</f>
        <v>0.23065261990757788</v>
      </c>
      <c r="J75" s="82">
        <f>ABS(B75-F75)</f>
        <v>31054518.868510425</v>
      </c>
      <c r="K75" s="120">
        <f>SUM(J75:J89)/SUM(B75:B89)</f>
        <v>0.20683422390676698</v>
      </c>
    </row>
    <row r="76" spans="1:11" x14ac:dyDescent="0.35">
      <c r="A76" s="32">
        <v>2</v>
      </c>
      <c r="B76" s="45">
        <f>O23</f>
        <v>54593266</v>
      </c>
      <c r="C76" s="46">
        <f t="shared" si="3"/>
        <v>184554129</v>
      </c>
      <c r="D76" s="58">
        <f t="shared" ref="D76:D89" si="4">B76/C76</f>
        <v>0.29581167485014653</v>
      </c>
      <c r="E76" s="44">
        <f t="shared" ref="E76:E89" si="5">$E$75</f>
        <v>0.35483072931283394</v>
      </c>
      <c r="F76" s="46">
        <f t="shared" ref="F76:F89" si="6">E76*C76</f>
        <v>65485476.190764837</v>
      </c>
      <c r="G76" s="46">
        <f t="shared" ref="G76:G89" si="7">F76*D58</f>
        <v>0</v>
      </c>
      <c r="H76" s="126"/>
      <c r="I76" s="81">
        <f t="shared" ref="I76:I89" si="8">IF(B76=0,0,ABS(B76-F76)/B76)</f>
        <v>0.19951563606333494</v>
      </c>
      <c r="J76" s="82">
        <f t="shared" ref="J76:J89" si="9">ABS(B76-F76)</f>
        <v>10892210.190764837</v>
      </c>
      <c r="K76" s="120"/>
    </row>
    <row r="77" spans="1:11" x14ac:dyDescent="0.35">
      <c r="A77" s="32">
        <v>3</v>
      </c>
      <c r="B77" s="45">
        <f>N24</f>
        <v>19578779</v>
      </c>
      <c r="C77" s="46">
        <f t="shared" si="3"/>
        <v>66362446</v>
      </c>
      <c r="D77" s="58">
        <f t="shared" si="4"/>
        <v>0.29502798917327427</v>
      </c>
      <c r="E77" s="44">
        <f t="shared" si="5"/>
        <v>0.35483072931283394</v>
      </c>
      <c r="F77" s="46">
        <f t="shared" si="6"/>
        <v>23547435.113163561</v>
      </c>
      <c r="G77" s="46">
        <f t="shared" si="7"/>
        <v>0</v>
      </c>
      <c r="H77" s="126"/>
      <c r="I77" s="81">
        <f t="shared" si="8"/>
        <v>0.20270192095041067</v>
      </c>
      <c r="J77" s="82">
        <f t="shared" si="9"/>
        <v>3968656.1131635606</v>
      </c>
      <c r="K77" s="120"/>
    </row>
    <row r="78" spans="1:11" x14ac:dyDescent="0.35">
      <c r="A78" s="32">
        <v>4</v>
      </c>
      <c r="B78" s="45">
        <f>M25</f>
        <v>32486859</v>
      </c>
      <c r="C78" s="46">
        <f t="shared" si="3"/>
        <v>69966160</v>
      </c>
      <c r="D78" s="58">
        <f t="shared" si="4"/>
        <v>0.46432245245415782</v>
      </c>
      <c r="E78" s="44">
        <f t="shared" si="5"/>
        <v>0.35483072931283394</v>
      </c>
      <c r="F78" s="46">
        <f t="shared" si="6"/>
        <v>24826143.580018431</v>
      </c>
      <c r="G78" s="46">
        <f t="shared" si="7"/>
        <v>0</v>
      </c>
      <c r="H78" s="126"/>
      <c r="I78" s="81">
        <f t="shared" si="8"/>
        <v>0.2358096675330037</v>
      </c>
      <c r="J78" s="82">
        <f t="shared" si="9"/>
        <v>7660715.4199815691</v>
      </c>
      <c r="K78" s="120"/>
    </row>
    <row r="79" spans="1:11" x14ac:dyDescent="0.35">
      <c r="A79" s="32">
        <v>5</v>
      </c>
      <c r="B79" s="45">
        <f>L26</f>
        <v>40792289</v>
      </c>
      <c r="C79" s="46">
        <f t="shared" si="3"/>
        <v>69012958</v>
      </c>
      <c r="D79" s="58">
        <f t="shared" si="4"/>
        <v>0.59108159079342748</v>
      </c>
      <c r="E79" s="44">
        <f t="shared" si="5"/>
        <v>0.35483072931283394</v>
      </c>
      <c r="F79" s="46">
        <f t="shared" si="6"/>
        <v>24487918.219175976</v>
      </c>
      <c r="G79" s="46">
        <f t="shared" si="7"/>
        <v>0</v>
      </c>
      <c r="H79" s="126"/>
      <c r="I79" s="81">
        <f t="shared" si="8"/>
        <v>0.39969247082025783</v>
      </c>
      <c r="J79" s="82">
        <f t="shared" si="9"/>
        <v>16304370.780824024</v>
      </c>
      <c r="K79" s="120"/>
    </row>
    <row r="80" spans="1:11" x14ac:dyDescent="0.35">
      <c r="A80" s="32">
        <v>6</v>
      </c>
      <c r="B80" s="45">
        <f>K27</f>
        <v>17822858</v>
      </c>
      <c r="C80" s="46">
        <f t="shared" si="3"/>
        <v>57359759.609999999</v>
      </c>
      <c r="D80" s="58">
        <f t="shared" si="4"/>
        <v>0.31072058392819335</v>
      </c>
      <c r="E80" s="44">
        <f t="shared" si="5"/>
        <v>0.35483072931283394</v>
      </c>
      <c r="F80" s="46">
        <f t="shared" si="6"/>
        <v>20353005.335625134</v>
      </c>
      <c r="G80" s="46">
        <f t="shared" si="7"/>
        <v>126480.28692485204</v>
      </c>
      <c r="H80" s="126"/>
      <c r="I80" s="81">
        <f t="shared" si="8"/>
        <v>0.14196080873365732</v>
      </c>
      <c r="J80" s="82">
        <f t="shared" si="9"/>
        <v>2530147.3356251344</v>
      </c>
      <c r="K80" s="120"/>
    </row>
    <row r="81" spans="1:11" x14ac:dyDescent="0.35">
      <c r="A81" s="32">
        <v>7</v>
      </c>
      <c r="B81" s="45">
        <f>J28</f>
        <v>55675945</v>
      </c>
      <c r="C81" s="46">
        <f t="shared" si="3"/>
        <v>156485297</v>
      </c>
      <c r="D81" s="58">
        <f t="shared" si="4"/>
        <v>0.35579026315807805</v>
      </c>
      <c r="E81" s="44">
        <f t="shared" si="5"/>
        <v>0.35483072931283394</v>
      </c>
      <c r="F81" s="46">
        <f t="shared" si="6"/>
        <v>55525792.061245427</v>
      </c>
      <c r="G81" s="46">
        <f t="shared" si="7"/>
        <v>852053.87359819328</v>
      </c>
      <c r="H81" s="126"/>
      <c r="I81" s="81">
        <f t="shared" si="8"/>
        <v>2.6969086695263719E-3</v>
      </c>
      <c r="J81" s="82">
        <f t="shared" si="9"/>
        <v>150152.93875457346</v>
      </c>
      <c r="K81" s="120"/>
    </row>
    <row r="82" spans="1:11" x14ac:dyDescent="0.35">
      <c r="A82" s="32">
        <v>8</v>
      </c>
      <c r="B82" s="45">
        <f>I29</f>
        <v>42079010</v>
      </c>
      <c r="C82" s="46">
        <f t="shared" si="3"/>
        <v>134354150</v>
      </c>
      <c r="D82" s="58">
        <f t="shared" si="4"/>
        <v>0.31319471709656904</v>
      </c>
      <c r="E82" s="44">
        <f t="shared" si="5"/>
        <v>0.35483072931283394</v>
      </c>
      <c r="F82" s="46">
        <f t="shared" si="6"/>
        <v>47672981.030705884</v>
      </c>
      <c r="G82" s="46">
        <f t="shared" si="7"/>
        <v>731550.99000446463</v>
      </c>
      <c r="H82" s="126"/>
      <c r="I82" s="81">
        <f t="shared" si="8"/>
        <v>0.13293970154492427</v>
      </c>
      <c r="J82" s="82">
        <f t="shared" si="9"/>
        <v>5593971.0307058841</v>
      </c>
      <c r="K82" s="120"/>
    </row>
    <row r="83" spans="1:11" x14ac:dyDescent="0.35">
      <c r="A83" s="32">
        <v>9</v>
      </c>
      <c r="B83" s="45">
        <f>H30</f>
        <v>46642503</v>
      </c>
      <c r="C83" s="46">
        <f t="shared" si="3"/>
        <v>161427863</v>
      </c>
      <c r="D83" s="58">
        <f t="shared" si="4"/>
        <v>0.28893712729134002</v>
      </c>
      <c r="E83" s="44">
        <f t="shared" si="5"/>
        <v>0.35483072931283394</v>
      </c>
      <c r="F83" s="46">
        <f t="shared" si="6"/>
        <v>57279566.359702244</v>
      </c>
      <c r="G83" s="46">
        <f t="shared" si="7"/>
        <v>16610173.334374029</v>
      </c>
      <c r="H83" s="126"/>
      <c r="I83" s="81">
        <f t="shared" si="8"/>
        <v>0.22805515732511705</v>
      </c>
      <c r="J83" s="82">
        <f t="shared" si="9"/>
        <v>10637063.359702244</v>
      </c>
      <c r="K83" s="120"/>
    </row>
    <row r="84" spans="1:11" x14ac:dyDescent="0.35">
      <c r="A84" s="32">
        <v>10</v>
      </c>
      <c r="B84" s="45">
        <f>G31</f>
        <v>113573780</v>
      </c>
      <c r="C84" s="46">
        <f t="shared" si="3"/>
        <v>275434406.56</v>
      </c>
      <c r="D84" s="58">
        <f t="shared" si="4"/>
        <v>0.41234419990757165</v>
      </c>
      <c r="E84" s="44">
        <f t="shared" si="5"/>
        <v>0.35483072931283394</v>
      </c>
      <c r="F84" s="46">
        <f t="shared" si="6"/>
        <v>97732591.357532412</v>
      </c>
      <c r="G84" s="46">
        <f t="shared" si="7"/>
        <v>41579937.878240205</v>
      </c>
      <c r="H84" s="126"/>
      <c r="I84" s="81">
        <f t="shared" si="8"/>
        <v>0.13947927631243398</v>
      </c>
      <c r="J84" s="82">
        <f t="shared" si="9"/>
        <v>15841188.642467588</v>
      </c>
      <c r="K84" s="120"/>
    </row>
    <row r="85" spans="1:11" x14ac:dyDescent="0.35">
      <c r="A85" s="32">
        <v>11</v>
      </c>
      <c r="B85" s="45">
        <f>F32</f>
        <v>120421758</v>
      </c>
      <c r="C85" s="46">
        <f t="shared" si="3"/>
        <v>299304402</v>
      </c>
      <c r="D85" s="58">
        <f t="shared" si="4"/>
        <v>0.40233874675855918</v>
      </c>
      <c r="E85" s="44">
        <f t="shared" si="5"/>
        <v>0.35483072931283394</v>
      </c>
      <c r="F85" s="46">
        <f t="shared" si="6"/>
        <v>106202399.24820164</v>
      </c>
      <c r="G85" s="46">
        <f t="shared" si="7"/>
        <v>45626082.832595401</v>
      </c>
      <c r="H85" s="126"/>
      <c r="I85" s="81">
        <f t="shared" si="8"/>
        <v>0.11807964763143851</v>
      </c>
      <c r="J85" s="82">
        <f t="shared" si="9"/>
        <v>14219358.751798362</v>
      </c>
      <c r="K85" s="120"/>
    </row>
    <row r="86" spans="1:11" x14ac:dyDescent="0.35">
      <c r="A86" s="32">
        <v>12</v>
      </c>
      <c r="B86" s="45">
        <f>E33</f>
        <v>27233926</v>
      </c>
      <c r="C86" s="46">
        <f t="shared" si="3"/>
        <v>97290293</v>
      </c>
      <c r="D86" s="58">
        <f t="shared" si="4"/>
        <v>0.27992439081255516</v>
      </c>
      <c r="E86" s="44">
        <f t="shared" si="5"/>
        <v>0.35483072931283394</v>
      </c>
      <c r="F86" s="46">
        <f t="shared" si="6"/>
        <v>34521585.620249301</v>
      </c>
      <c r="G86" s="46">
        <f t="shared" si="7"/>
        <v>18933708.420592543</v>
      </c>
      <c r="H86" s="126"/>
      <c r="I86" s="81">
        <f t="shared" si="8"/>
        <v>0.26759489690356436</v>
      </c>
      <c r="J86" s="82">
        <f t="shared" si="9"/>
        <v>7287659.6202493012</v>
      </c>
      <c r="K86" s="120"/>
    </row>
    <row r="87" spans="1:11" x14ac:dyDescent="0.35">
      <c r="A87" s="32">
        <v>13</v>
      </c>
      <c r="B87" s="45">
        <f>D34</f>
        <v>26733942</v>
      </c>
      <c r="C87" s="46">
        <f>F98</f>
        <v>101167203.29000001</v>
      </c>
      <c r="D87" s="58">
        <f t="shared" si="4"/>
        <v>0.26425502663512446</v>
      </c>
      <c r="E87" s="44">
        <f t="shared" si="5"/>
        <v>0.35483072931283394</v>
      </c>
      <c r="F87" s="46">
        <f t="shared" si="6"/>
        <v>35897232.525930434</v>
      </c>
      <c r="G87" s="46">
        <f t="shared" si="7"/>
        <v>27855840.631032798</v>
      </c>
      <c r="H87" s="126"/>
      <c r="I87" s="81">
        <f t="shared" si="8"/>
        <v>0.34275867456922121</v>
      </c>
      <c r="J87" s="82">
        <f t="shared" si="9"/>
        <v>9163290.5259304345</v>
      </c>
      <c r="K87" s="120"/>
    </row>
    <row r="88" spans="1:11" x14ac:dyDescent="0.35">
      <c r="A88" s="32">
        <v>14</v>
      </c>
      <c r="B88" s="45">
        <f>C35</f>
        <v>27079107</v>
      </c>
      <c r="C88" s="46">
        <f>F99</f>
        <v>56719742</v>
      </c>
      <c r="D88" s="58">
        <f t="shared" si="4"/>
        <v>0.47741943184438324</v>
      </c>
      <c r="E88" s="44">
        <f t="shared" si="5"/>
        <v>0.35483072931283394</v>
      </c>
      <c r="F88" s="46">
        <f t="shared" si="6"/>
        <v>20125907.420295779</v>
      </c>
      <c r="G88" s="46">
        <f t="shared" si="7"/>
        <v>18488219.951961067</v>
      </c>
      <c r="H88" s="126"/>
      <c r="I88" s="81">
        <f t="shared" si="8"/>
        <v>0.25677359226447982</v>
      </c>
      <c r="J88" s="82">
        <f t="shared" si="9"/>
        <v>6953199.5797042213</v>
      </c>
      <c r="K88" s="120"/>
    </row>
    <row r="89" spans="1:11" x14ac:dyDescent="0.35">
      <c r="A89" s="32">
        <v>15</v>
      </c>
      <c r="B89" s="45">
        <f>B36</f>
        <v>7341225</v>
      </c>
      <c r="C89" s="46">
        <f>F100</f>
        <v>66688263.390000001</v>
      </c>
      <c r="D89" s="58">
        <f t="shared" si="4"/>
        <v>0.1100827136113553</v>
      </c>
      <c r="E89" s="44">
        <f t="shared" si="5"/>
        <v>0.35483072931283394</v>
      </c>
      <c r="F89" s="46">
        <f t="shared" si="6"/>
        <v>23663045.135280065</v>
      </c>
      <c r="G89" s="46">
        <f t="shared" si="7"/>
        <v>21737533.322500527</v>
      </c>
      <c r="H89" s="127"/>
      <c r="I89" s="81">
        <f t="shared" si="8"/>
        <v>2.223310160808321</v>
      </c>
      <c r="J89" s="82">
        <f t="shared" si="9"/>
        <v>16321820.135280065</v>
      </c>
      <c r="K89" s="120"/>
    </row>
    <row r="90" spans="1:11" x14ac:dyDescent="0.35">
      <c r="I90" s="85">
        <f>AVERAGE(I75:I89)</f>
        <v>0.34146807600248452</v>
      </c>
      <c r="J90" s="57"/>
    </row>
    <row r="91" spans="1:11" x14ac:dyDescent="0.35">
      <c r="A91" t="s">
        <v>27</v>
      </c>
      <c r="J91" s="57"/>
    </row>
    <row r="92" spans="1:11" x14ac:dyDescent="0.35">
      <c r="A92" t="s">
        <v>30</v>
      </c>
      <c r="J92" s="57"/>
    </row>
    <row r="93" spans="1:11" x14ac:dyDescent="0.35">
      <c r="A93" t="s">
        <v>31</v>
      </c>
      <c r="J93" s="57"/>
    </row>
    <row r="97" spans="1:17" x14ac:dyDescent="0.35">
      <c r="A97" s="17" t="s">
        <v>48</v>
      </c>
      <c r="B97" s="99" t="s">
        <v>8</v>
      </c>
      <c r="C97" s="100"/>
      <c r="D97" s="8"/>
      <c r="E97" s="17" t="s">
        <v>7</v>
      </c>
      <c r="F97" s="101" t="s">
        <v>8</v>
      </c>
      <c r="G97" s="101"/>
    </row>
    <row r="98" spans="1:17" x14ac:dyDescent="0.35">
      <c r="A98" s="4">
        <v>45292</v>
      </c>
      <c r="B98" s="91">
        <v>291922566.38</v>
      </c>
      <c r="C98" s="92"/>
      <c r="D98" s="9"/>
      <c r="E98" s="4">
        <v>45658</v>
      </c>
      <c r="F98" s="96">
        <v>101167203.29000001</v>
      </c>
      <c r="G98" s="96"/>
    </row>
    <row r="99" spans="1:17" x14ac:dyDescent="0.35">
      <c r="A99" s="4">
        <v>45323</v>
      </c>
      <c r="B99" s="91">
        <v>184554129</v>
      </c>
      <c r="C99" s="92"/>
      <c r="D99" s="9"/>
      <c r="E99" s="4">
        <v>45689</v>
      </c>
      <c r="F99" s="96">
        <v>56719742</v>
      </c>
      <c r="G99" s="96"/>
    </row>
    <row r="100" spans="1:17" x14ac:dyDescent="0.35">
      <c r="A100" s="4">
        <v>45352</v>
      </c>
      <c r="B100" s="91">
        <v>66362446</v>
      </c>
      <c r="C100" s="92"/>
      <c r="D100" s="9"/>
      <c r="E100" s="4">
        <v>45717</v>
      </c>
      <c r="F100" s="96">
        <v>66688263.390000001</v>
      </c>
      <c r="G100" s="96"/>
    </row>
    <row r="101" spans="1:17" x14ac:dyDescent="0.35">
      <c r="A101" s="13">
        <v>45383</v>
      </c>
      <c r="B101" s="91">
        <v>69966160</v>
      </c>
      <c r="C101" s="92"/>
      <c r="D101" s="9"/>
      <c r="E101" s="23">
        <v>45748</v>
      </c>
      <c r="F101" s="95">
        <v>57962898.5</v>
      </c>
      <c r="G101" s="95"/>
    </row>
    <row r="102" spans="1:17" x14ac:dyDescent="0.35">
      <c r="A102" s="13">
        <v>45413</v>
      </c>
      <c r="B102" s="91">
        <v>69012958</v>
      </c>
      <c r="C102" s="92"/>
      <c r="D102" s="9"/>
      <c r="E102" s="23">
        <v>45778</v>
      </c>
      <c r="F102" s="95">
        <v>55407937</v>
      </c>
      <c r="G102" s="95"/>
    </row>
    <row r="103" spans="1:17" x14ac:dyDescent="0.35">
      <c r="A103" s="13">
        <v>45444</v>
      </c>
      <c r="B103" s="91">
        <v>57359759.609999999</v>
      </c>
      <c r="C103" s="92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 x14ac:dyDescent="0.35">
      <c r="A104" s="4">
        <v>45474</v>
      </c>
      <c r="B104" s="91">
        <v>156485297</v>
      </c>
      <c r="C104" s="92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 x14ac:dyDescent="0.35">
      <c r="A105" s="4">
        <v>45505</v>
      </c>
      <c r="B105" s="91">
        <v>134354150</v>
      </c>
      <c r="C105" s="92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x14ac:dyDescent="0.35">
      <c r="A106" s="4">
        <v>45536</v>
      </c>
      <c r="B106" s="91">
        <v>161427863</v>
      </c>
      <c r="C106" s="92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 x14ac:dyDescent="0.35">
      <c r="A107" s="13">
        <v>45566</v>
      </c>
      <c r="B107" s="91">
        <v>275434406.56</v>
      </c>
      <c r="C107" s="92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x14ac:dyDescent="0.35">
      <c r="A108" s="13">
        <v>45597</v>
      </c>
      <c r="B108" s="91">
        <v>299304402</v>
      </c>
      <c r="C108" s="92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 x14ac:dyDescent="0.35">
      <c r="A109" s="13">
        <v>45627</v>
      </c>
      <c r="B109" s="93">
        <v>97290293</v>
      </c>
      <c r="C109" s="9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</sheetData>
  <mergeCells count="28">
    <mergeCell ref="K75:K89"/>
    <mergeCell ref="A1:A2"/>
    <mergeCell ref="B1:P1"/>
    <mergeCell ref="S1:S2"/>
    <mergeCell ref="T1:AJ1"/>
    <mergeCell ref="A20:A21"/>
    <mergeCell ref="B20:P20"/>
    <mergeCell ref="A54:F55"/>
    <mergeCell ref="H75:H89"/>
    <mergeCell ref="B97:C97"/>
    <mergeCell ref="F97:G97"/>
    <mergeCell ref="B98:C98"/>
    <mergeCell ref="F98:G98"/>
    <mergeCell ref="B99:C99"/>
    <mergeCell ref="F99:G99"/>
    <mergeCell ref="B100:C100"/>
    <mergeCell ref="F100:G100"/>
    <mergeCell ref="B101:C101"/>
    <mergeCell ref="F101:G101"/>
    <mergeCell ref="B107:C107"/>
    <mergeCell ref="B108:C108"/>
    <mergeCell ref="B109:C109"/>
    <mergeCell ref="B102:C102"/>
    <mergeCell ref="F102:G102"/>
    <mergeCell ref="B103:C103"/>
    <mergeCell ref="B104:C104"/>
    <mergeCell ref="B105:C105"/>
    <mergeCell ref="B106:C10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D248-58AE-4B17-B15B-504F00AE2BDB}">
  <dimension ref="A1:R55"/>
  <sheetViews>
    <sheetView zoomScale="38" zoomScaleNormal="8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I44" sqref="I44"/>
    </sheetView>
  </sheetViews>
  <sheetFormatPr defaultRowHeight="14.5" x14ac:dyDescent="0.35"/>
  <cols>
    <col min="1" max="1" width="13" style="1" customWidth="1"/>
    <col min="2" max="5" width="12.1796875" customWidth="1"/>
    <col min="6" max="6" width="12.7265625" bestFit="1" customWidth="1"/>
    <col min="7" max="7" width="12.1796875" customWidth="1"/>
    <col min="8" max="8" width="13" customWidth="1"/>
    <col min="9" max="13" width="12.1796875" customWidth="1"/>
    <col min="14" max="14" width="13.1796875" customWidth="1"/>
    <col min="15" max="15" width="13.54296875" customWidth="1"/>
    <col min="16" max="16" width="13.08984375" customWidth="1"/>
    <col min="17" max="18" width="12.1796875" customWidth="1"/>
  </cols>
  <sheetData>
    <row r="1" spans="1:18" x14ac:dyDescent="0.3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</row>
    <row r="2" spans="1:18" x14ac:dyDescent="0.3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8" x14ac:dyDescent="0.35">
      <c r="A3" s="116" t="s">
        <v>2</v>
      </c>
      <c r="B3" s="117" t="s">
        <v>1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</row>
    <row r="4" spans="1:18" s="2" customFormat="1" x14ac:dyDescent="0.35">
      <c r="A4" s="116"/>
      <c r="B4" s="5">
        <v>45292</v>
      </c>
      <c r="C4" s="5">
        <v>45323</v>
      </c>
      <c r="D4" s="5">
        <v>45352</v>
      </c>
      <c r="E4" s="5">
        <v>45383</v>
      </c>
      <c r="F4" s="5">
        <v>45413</v>
      </c>
      <c r="G4" s="5">
        <v>45444</v>
      </c>
      <c r="H4" s="5">
        <v>45474</v>
      </c>
      <c r="I4" s="5">
        <v>45505</v>
      </c>
      <c r="J4" s="5">
        <v>45536</v>
      </c>
      <c r="K4" s="5">
        <v>45566</v>
      </c>
      <c r="L4" s="5">
        <v>45597</v>
      </c>
      <c r="M4" s="5">
        <v>45627</v>
      </c>
      <c r="N4" s="5">
        <v>45658</v>
      </c>
      <c r="O4" s="5">
        <v>45689</v>
      </c>
      <c r="P4" s="5">
        <v>45717</v>
      </c>
      <c r="Q4" s="22">
        <v>45748</v>
      </c>
      <c r="R4" s="22">
        <v>45778</v>
      </c>
    </row>
    <row r="5" spans="1:18" x14ac:dyDescent="0.35">
      <c r="A5" s="4">
        <v>45292</v>
      </c>
      <c r="B5" s="24">
        <v>5000000</v>
      </c>
      <c r="C5" s="24">
        <v>7137616</v>
      </c>
      <c r="D5" s="25"/>
      <c r="E5" s="28"/>
      <c r="F5" s="28"/>
      <c r="G5" s="28"/>
      <c r="H5" s="19"/>
      <c r="I5" s="19"/>
      <c r="J5" s="19"/>
      <c r="K5" s="19"/>
      <c r="L5" s="19"/>
      <c r="M5" s="19"/>
      <c r="N5" s="14"/>
      <c r="O5" s="14"/>
      <c r="P5" s="14"/>
      <c r="Q5" s="21"/>
      <c r="R5" s="21"/>
    </row>
    <row r="6" spans="1:18" x14ac:dyDescent="0.35">
      <c r="A6" s="4">
        <v>45323</v>
      </c>
      <c r="B6" s="26"/>
      <c r="C6" s="26"/>
      <c r="D6" s="27">
        <v>534170</v>
      </c>
      <c r="E6" s="29">
        <v>7928518</v>
      </c>
      <c r="F6" s="29">
        <v>2000000</v>
      </c>
      <c r="G6" s="30">
        <f>1180575</f>
        <v>1180575</v>
      </c>
      <c r="H6" s="14"/>
      <c r="I6" s="14"/>
      <c r="J6" s="14"/>
      <c r="K6" s="14"/>
      <c r="L6" s="14"/>
      <c r="M6" s="14"/>
      <c r="N6" s="14"/>
      <c r="O6" s="14"/>
      <c r="P6" s="14"/>
      <c r="Q6" s="21"/>
      <c r="R6" s="21"/>
    </row>
    <row r="7" spans="1:18" x14ac:dyDescent="0.35">
      <c r="A7" s="4">
        <v>45352</v>
      </c>
      <c r="B7" s="26"/>
      <c r="C7" s="26"/>
      <c r="D7" s="26"/>
      <c r="E7" s="29">
        <v>13331739</v>
      </c>
      <c r="F7" s="30">
        <f>1247040</f>
        <v>1247040</v>
      </c>
      <c r="G7" s="30"/>
      <c r="H7" s="14"/>
      <c r="I7" s="14"/>
      <c r="J7" s="14"/>
      <c r="K7" s="14"/>
      <c r="L7" s="14"/>
      <c r="M7" s="14"/>
      <c r="N7" s="14"/>
      <c r="O7" s="14"/>
      <c r="P7" s="14"/>
      <c r="Q7" s="21"/>
      <c r="R7" s="21"/>
    </row>
    <row r="8" spans="1:18" x14ac:dyDescent="0.35">
      <c r="A8" s="13">
        <v>45383</v>
      </c>
      <c r="B8" s="14"/>
      <c r="C8" s="14"/>
      <c r="D8" s="14"/>
      <c r="E8" s="26"/>
      <c r="F8" s="27">
        <f>6700000+205140+6892500+4000000+4500000</f>
        <v>22297640</v>
      </c>
      <c r="G8" s="26">
        <f>4000000+6189219</f>
        <v>10189219</v>
      </c>
      <c r="H8" s="30"/>
      <c r="I8" s="30"/>
      <c r="J8" s="30"/>
      <c r="K8" s="14"/>
      <c r="L8" s="14"/>
      <c r="M8" s="14"/>
      <c r="N8" s="30"/>
      <c r="O8" s="30"/>
      <c r="P8" s="30"/>
      <c r="Q8" s="21"/>
      <c r="R8" s="21"/>
    </row>
    <row r="9" spans="1:18" x14ac:dyDescent="0.35">
      <c r="A9" s="13">
        <v>45413</v>
      </c>
      <c r="B9" s="14"/>
      <c r="C9" s="14"/>
      <c r="D9" s="14"/>
      <c r="E9" s="26"/>
      <c r="F9" s="26"/>
      <c r="G9" s="26">
        <f>1873260</f>
        <v>1873260</v>
      </c>
      <c r="H9" s="30">
        <f>6397629+29271400</f>
        <v>35669029</v>
      </c>
      <c r="I9" s="30"/>
      <c r="J9" s="30"/>
      <c r="K9" s="14"/>
      <c r="L9" s="14"/>
      <c r="M9" s="14"/>
      <c r="N9" s="30"/>
      <c r="O9" s="30"/>
      <c r="P9" s="30"/>
      <c r="Q9" s="21"/>
      <c r="R9" s="21"/>
    </row>
    <row r="10" spans="1:18" x14ac:dyDescent="0.35">
      <c r="A10" s="13">
        <v>45444</v>
      </c>
      <c r="B10" s="14"/>
      <c r="C10" s="14"/>
      <c r="D10" s="14"/>
      <c r="E10" s="26"/>
      <c r="F10" s="26"/>
      <c r="G10" s="26"/>
      <c r="H10" s="30">
        <f>4500000</f>
        <v>4500000</v>
      </c>
      <c r="I10" s="30">
        <f>11459108</f>
        <v>11459108</v>
      </c>
      <c r="J10" s="30"/>
      <c r="K10" s="14"/>
      <c r="L10" s="14"/>
      <c r="M10" s="14"/>
      <c r="N10" s="30"/>
      <c r="O10" s="30"/>
      <c r="P10" s="31">
        <v>1863750</v>
      </c>
      <c r="Q10" s="21"/>
      <c r="R10" s="21"/>
    </row>
    <row r="11" spans="1:18" x14ac:dyDescent="0.35">
      <c r="A11" s="4">
        <v>45474</v>
      </c>
      <c r="B11" s="14"/>
      <c r="C11" s="14"/>
      <c r="D11" s="14"/>
      <c r="E11" s="14"/>
      <c r="F11" s="14"/>
      <c r="G11" s="14"/>
      <c r="H11" s="26">
        <v>934638</v>
      </c>
      <c r="I11" s="26">
        <f>13210200+4250000</f>
        <v>17460200</v>
      </c>
      <c r="J11" s="26">
        <f>37281107</f>
        <v>37281107</v>
      </c>
      <c r="K11" s="30"/>
      <c r="L11" s="30"/>
      <c r="M11" s="30"/>
      <c r="N11" s="14"/>
      <c r="O11" s="14"/>
      <c r="P11" s="14"/>
      <c r="Q11" s="21"/>
      <c r="R11" s="21"/>
    </row>
    <row r="12" spans="1:18" x14ac:dyDescent="0.35">
      <c r="A12" s="4">
        <v>45505</v>
      </c>
      <c r="B12" s="14"/>
      <c r="C12" s="14"/>
      <c r="D12" s="14"/>
      <c r="E12" s="14"/>
      <c r="F12" s="14"/>
      <c r="G12" s="14"/>
      <c r="H12" s="26"/>
      <c r="I12" s="26">
        <f>728790</f>
        <v>728790</v>
      </c>
      <c r="J12" s="26">
        <f>2000000+4500000+5460178</f>
        <v>11960178</v>
      </c>
      <c r="K12" s="30">
        <f>3237878+26152164</f>
        <v>29390042</v>
      </c>
      <c r="L12" s="30"/>
      <c r="M12" s="30"/>
      <c r="N12" s="14"/>
      <c r="O12" s="14"/>
      <c r="P12" s="14"/>
      <c r="Q12" s="21"/>
      <c r="R12" s="21"/>
    </row>
    <row r="13" spans="1:18" x14ac:dyDescent="0.35">
      <c r="A13" s="4">
        <v>45536</v>
      </c>
      <c r="B13" s="14"/>
      <c r="C13" s="14"/>
      <c r="D13" s="14"/>
      <c r="E13" s="14"/>
      <c r="F13" s="14"/>
      <c r="G13" s="14"/>
      <c r="H13" s="26"/>
      <c r="I13" s="26"/>
      <c r="J13" s="26"/>
      <c r="K13" s="30">
        <f>2297400+8493423+8568030+2855350</f>
        <v>22214203</v>
      </c>
      <c r="L13" s="30">
        <f>24428300</f>
        <v>24428300</v>
      </c>
      <c r="M13" s="30"/>
      <c r="N13" s="14"/>
      <c r="O13" s="14"/>
      <c r="P13" s="14"/>
      <c r="Q13" s="21"/>
      <c r="R13" s="21"/>
    </row>
    <row r="14" spans="1:18" x14ac:dyDescent="0.35">
      <c r="A14" s="13">
        <v>45566</v>
      </c>
      <c r="B14" s="14"/>
      <c r="C14" s="14"/>
      <c r="D14" s="14"/>
      <c r="E14" s="14"/>
      <c r="F14" s="14"/>
      <c r="G14" s="14"/>
      <c r="H14" s="14"/>
      <c r="I14" s="14"/>
      <c r="J14" s="14"/>
      <c r="K14" s="26">
        <f>3647000</f>
        <v>3647000</v>
      </c>
      <c r="L14" s="26">
        <f>6647060+2701080+685891+7035702+2350000</f>
        <v>19419733</v>
      </c>
      <c r="M14" s="26">
        <f>8417325</f>
        <v>8417325</v>
      </c>
      <c r="N14" s="30"/>
      <c r="O14" s="30"/>
      <c r="P14" s="30">
        <v>82089722</v>
      </c>
      <c r="Q14" s="21"/>
      <c r="R14" s="21"/>
    </row>
    <row r="15" spans="1:18" x14ac:dyDescent="0.35">
      <c r="A15" s="13">
        <v>45597</v>
      </c>
      <c r="B15" s="14"/>
      <c r="C15" s="14"/>
      <c r="D15" s="14"/>
      <c r="E15" s="14"/>
      <c r="F15" s="14"/>
      <c r="G15" s="14"/>
      <c r="H15" s="14"/>
      <c r="I15" s="14"/>
      <c r="J15" s="14"/>
      <c r="K15" s="26"/>
      <c r="L15" s="26">
        <f>148200</f>
        <v>148200</v>
      </c>
      <c r="M15" s="26"/>
      <c r="N15" s="30">
        <f>7010820+8439710</f>
        <v>15450530</v>
      </c>
      <c r="O15" s="30">
        <f>8581800+92841478</f>
        <v>101423278</v>
      </c>
      <c r="P15" s="30">
        <v>3399750</v>
      </c>
      <c r="Q15" s="21"/>
      <c r="R15" s="21">
        <v>35280392</v>
      </c>
    </row>
    <row r="16" spans="1:18" x14ac:dyDescent="0.35">
      <c r="A16" s="13">
        <v>45627</v>
      </c>
      <c r="B16" s="14"/>
      <c r="C16" s="14"/>
      <c r="D16" s="14"/>
      <c r="E16" s="14"/>
      <c r="F16" s="14"/>
      <c r="G16" s="14"/>
      <c r="H16" s="14"/>
      <c r="I16" s="14"/>
      <c r="J16" s="14"/>
      <c r="K16" s="26"/>
      <c r="L16" s="26"/>
      <c r="M16" s="26"/>
      <c r="N16" s="30">
        <f>14374850+1489800+2169276</f>
        <v>18033926</v>
      </c>
      <c r="O16" s="30">
        <f>4000000+4000000+1200000</f>
        <v>9200000</v>
      </c>
      <c r="P16" s="30"/>
      <c r="Q16" s="21"/>
      <c r="R16" s="21"/>
    </row>
    <row r="17" spans="1:18" x14ac:dyDescent="0.35">
      <c r="A17" s="18">
        <v>45658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26">
        <f>2212150+1020500</f>
        <v>3232650</v>
      </c>
      <c r="O17" s="26">
        <f>3106457+8150000</f>
        <v>11256457</v>
      </c>
      <c r="P17" s="26">
        <v>12244835</v>
      </c>
      <c r="Q17" s="21"/>
      <c r="R17" s="21"/>
    </row>
    <row r="18" spans="1:18" x14ac:dyDescent="0.35">
      <c r="A18" s="18">
        <v>45689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6"/>
      <c r="O18" s="26">
        <f>19020322</f>
        <v>19020322</v>
      </c>
      <c r="P18" s="26">
        <v>8058785</v>
      </c>
      <c r="Q18" s="21"/>
      <c r="R18" s="21"/>
    </row>
    <row r="19" spans="1:18" x14ac:dyDescent="0.35">
      <c r="A19" s="18">
        <v>45717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6"/>
      <c r="O19" s="26"/>
      <c r="P19" s="26">
        <v>5341225</v>
      </c>
      <c r="Q19" s="21"/>
      <c r="R19" s="21">
        <v>28267915</v>
      </c>
    </row>
    <row r="20" spans="1:18" x14ac:dyDescent="0.35">
      <c r="A20" s="20">
        <v>45748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>
        <v>42950003</v>
      </c>
    </row>
    <row r="21" spans="1:18" x14ac:dyDescent="0.35">
      <c r="A21" s="20">
        <v>45778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35">
      <c r="A22" s="15"/>
      <c r="B22" s="16"/>
      <c r="C22" s="16"/>
      <c r="D22" s="16"/>
      <c r="E22" s="16"/>
    </row>
    <row r="23" spans="1:18" x14ac:dyDescent="0.35">
      <c r="A23" s="122" t="s">
        <v>2</v>
      </c>
      <c r="B23" s="130" t="s">
        <v>1</v>
      </c>
      <c r="C23" s="131"/>
      <c r="D23" s="131"/>
      <c r="E23" s="132"/>
      <c r="F23" s="7"/>
      <c r="G23" s="1"/>
      <c r="H23" s="1"/>
      <c r="I23" s="1"/>
      <c r="J23" s="1"/>
      <c r="K23" s="1"/>
      <c r="L23" s="1"/>
      <c r="M23" s="1"/>
    </row>
    <row r="24" spans="1:18" s="2" customFormat="1" x14ac:dyDescent="0.35">
      <c r="A24" s="108"/>
      <c r="B24" s="3">
        <v>0</v>
      </c>
      <c r="C24" s="3">
        <v>1</v>
      </c>
      <c r="D24" s="3">
        <v>2</v>
      </c>
      <c r="E24" s="6">
        <v>3</v>
      </c>
      <c r="F24" s="10"/>
      <c r="G24" s="17" t="s">
        <v>7</v>
      </c>
      <c r="H24" s="99" t="s">
        <v>8</v>
      </c>
      <c r="I24" s="100"/>
      <c r="J24" s="8"/>
      <c r="K24" s="17" t="s">
        <v>7</v>
      </c>
      <c r="L24" s="99" t="s">
        <v>8</v>
      </c>
      <c r="M24" s="100"/>
    </row>
    <row r="25" spans="1:18" x14ac:dyDescent="0.35">
      <c r="A25" s="102" t="s">
        <v>3</v>
      </c>
      <c r="B25" s="110">
        <f>SUM(B5:D6)</f>
        <v>12671786</v>
      </c>
      <c r="C25" s="113">
        <f>SUM(E5:G7)</f>
        <v>25687872</v>
      </c>
      <c r="D25" s="113"/>
      <c r="E25" s="113"/>
      <c r="F25" s="11"/>
      <c r="G25" s="4">
        <v>45292</v>
      </c>
      <c r="H25" s="91">
        <v>191922566.38</v>
      </c>
      <c r="I25" s="92"/>
      <c r="J25" s="9"/>
      <c r="K25" s="4">
        <v>45658</v>
      </c>
      <c r="L25" s="91">
        <v>481167203.28999996</v>
      </c>
      <c r="M25" s="92"/>
    </row>
    <row r="26" spans="1:18" x14ac:dyDescent="0.35">
      <c r="A26" s="103"/>
      <c r="B26" s="111"/>
      <c r="C26" s="114"/>
      <c r="D26" s="114"/>
      <c r="E26" s="114"/>
      <c r="F26" s="12"/>
      <c r="G26" s="4">
        <v>45323</v>
      </c>
      <c r="H26" s="91">
        <v>384554129</v>
      </c>
      <c r="I26" s="92"/>
      <c r="J26" s="9"/>
      <c r="K26" s="4">
        <v>45689</v>
      </c>
      <c r="L26" s="91">
        <v>56719742</v>
      </c>
      <c r="M26" s="92"/>
    </row>
    <row r="27" spans="1:18" x14ac:dyDescent="0.35">
      <c r="A27" s="104"/>
      <c r="B27" s="112"/>
      <c r="C27" s="115"/>
      <c r="D27" s="115"/>
      <c r="E27" s="115"/>
      <c r="F27" s="11"/>
      <c r="G27" s="4">
        <v>45352</v>
      </c>
      <c r="H27" s="91">
        <v>66362446</v>
      </c>
      <c r="I27" s="92"/>
      <c r="J27" s="9"/>
      <c r="K27" s="4">
        <v>45717</v>
      </c>
      <c r="L27" s="91">
        <v>66688263.390000001</v>
      </c>
      <c r="M27" s="92"/>
    </row>
    <row r="28" spans="1:18" x14ac:dyDescent="0.35">
      <c r="A28" s="102" t="s">
        <v>4</v>
      </c>
      <c r="B28" s="105"/>
      <c r="C28" s="105">
        <f>SUM(E8:G10)</f>
        <v>34360119</v>
      </c>
      <c r="D28" s="105">
        <f>SUM(H8:J10)</f>
        <v>51628137</v>
      </c>
      <c r="E28" s="105"/>
      <c r="F28" s="12"/>
      <c r="G28" s="13">
        <v>45383</v>
      </c>
      <c r="H28" s="91">
        <v>69966160</v>
      </c>
      <c r="I28" s="92"/>
      <c r="J28" s="9"/>
      <c r="K28" s="23">
        <v>45748</v>
      </c>
      <c r="L28" s="128">
        <v>57962898.5</v>
      </c>
      <c r="M28" s="129"/>
    </row>
    <row r="29" spans="1:18" x14ac:dyDescent="0.35">
      <c r="A29" s="103"/>
      <c r="B29" s="106"/>
      <c r="C29" s="106"/>
      <c r="D29" s="106"/>
      <c r="E29" s="106"/>
      <c r="F29" s="11"/>
      <c r="G29" s="13">
        <v>45413</v>
      </c>
      <c r="H29" s="91">
        <v>49012958</v>
      </c>
      <c r="I29" s="92"/>
      <c r="J29" s="9"/>
      <c r="K29" s="23">
        <v>45778</v>
      </c>
      <c r="L29" s="128">
        <v>55407937</v>
      </c>
      <c r="M29" s="129"/>
    </row>
    <row r="30" spans="1:18" x14ac:dyDescent="0.35">
      <c r="A30" s="104"/>
      <c r="B30" s="107"/>
      <c r="C30" s="107"/>
      <c r="D30" s="107"/>
      <c r="E30" s="107"/>
      <c r="F30" s="11"/>
      <c r="G30" s="13">
        <v>45444</v>
      </c>
      <c r="H30" s="91">
        <v>90359759.609999999</v>
      </c>
      <c r="I30" s="92"/>
      <c r="J30" s="9"/>
      <c r="K30" s="9"/>
      <c r="L30" s="9"/>
      <c r="M30" s="9"/>
    </row>
    <row r="31" spans="1:18" x14ac:dyDescent="0.35">
      <c r="A31" s="102" t="s">
        <v>5</v>
      </c>
      <c r="B31" s="105"/>
      <c r="C31" s="105"/>
      <c r="D31" s="105">
        <f>SUM(H11:J13)</f>
        <v>68364913</v>
      </c>
      <c r="E31" s="105">
        <f>SUM(K11:M13)</f>
        <v>76032545</v>
      </c>
      <c r="F31" s="11"/>
      <c r="G31" s="4">
        <v>45474</v>
      </c>
      <c r="H31" s="91">
        <v>156485297</v>
      </c>
      <c r="I31" s="92"/>
      <c r="J31" s="9"/>
      <c r="K31" s="9"/>
      <c r="L31" s="9"/>
      <c r="M31" s="9"/>
    </row>
    <row r="32" spans="1:18" x14ac:dyDescent="0.35">
      <c r="A32" s="103"/>
      <c r="B32" s="106"/>
      <c r="C32" s="106"/>
      <c r="D32" s="106"/>
      <c r="E32" s="106"/>
      <c r="F32" s="11"/>
      <c r="G32" s="4">
        <v>45505</v>
      </c>
      <c r="H32" s="91">
        <v>34354150</v>
      </c>
      <c r="I32" s="92"/>
      <c r="J32" s="9"/>
      <c r="K32" s="9"/>
      <c r="L32" s="9"/>
      <c r="M32" s="9"/>
    </row>
    <row r="33" spans="1:13" x14ac:dyDescent="0.35">
      <c r="A33" s="104"/>
      <c r="B33" s="107"/>
      <c r="C33" s="107"/>
      <c r="D33" s="107"/>
      <c r="E33" s="107"/>
      <c r="F33" s="11"/>
      <c r="G33" s="4">
        <v>45536</v>
      </c>
      <c r="H33" s="91">
        <v>161427863</v>
      </c>
      <c r="I33" s="92"/>
      <c r="J33" s="9"/>
      <c r="K33" s="9"/>
      <c r="L33" s="9"/>
      <c r="M33" s="9"/>
    </row>
    <row r="34" spans="1:13" x14ac:dyDescent="0.35">
      <c r="A34" s="102" t="s">
        <v>6</v>
      </c>
      <c r="B34" s="105"/>
      <c r="C34" s="105"/>
      <c r="D34" s="105"/>
      <c r="E34" s="105">
        <f>SUM(K14:M16)</f>
        <v>31632258</v>
      </c>
      <c r="F34" s="11"/>
      <c r="G34" s="13">
        <v>45566</v>
      </c>
      <c r="H34" s="91">
        <v>211270793.56</v>
      </c>
      <c r="I34" s="92"/>
      <c r="J34" s="9"/>
      <c r="K34" s="9"/>
      <c r="L34" s="9"/>
      <c r="M34" s="9"/>
    </row>
    <row r="35" spans="1:13" x14ac:dyDescent="0.35">
      <c r="A35" s="103"/>
      <c r="B35" s="106"/>
      <c r="C35" s="106"/>
      <c r="D35" s="106"/>
      <c r="E35" s="106"/>
      <c r="F35" s="11"/>
      <c r="G35" s="13">
        <v>45597</v>
      </c>
      <c r="H35" s="91">
        <v>299304402</v>
      </c>
      <c r="I35" s="92"/>
      <c r="J35" s="9"/>
      <c r="K35" s="9"/>
      <c r="L35" s="9"/>
      <c r="M35" s="9"/>
    </row>
    <row r="36" spans="1:13" x14ac:dyDescent="0.35">
      <c r="A36" s="104"/>
      <c r="B36" s="107"/>
      <c r="C36" s="107"/>
      <c r="D36" s="107"/>
      <c r="E36" s="107"/>
      <c r="F36" s="11"/>
      <c r="G36" s="13">
        <v>45627</v>
      </c>
      <c r="H36" s="93">
        <v>27290293</v>
      </c>
      <c r="I36" s="94"/>
      <c r="J36" s="9"/>
      <c r="K36" s="9"/>
      <c r="L36" s="9"/>
      <c r="M36" s="9"/>
    </row>
    <row r="39" spans="1:13" x14ac:dyDescent="0.35">
      <c r="A39" s="108" t="s">
        <v>2</v>
      </c>
      <c r="B39" s="109" t="s">
        <v>1</v>
      </c>
      <c r="C39" s="109"/>
      <c r="D39" s="109"/>
      <c r="E39" s="109"/>
      <c r="F39" s="109"/>
    </row>
    <row r="40" spans="1:13" x14ac:dyDescent="0.35">
      <c r="A40" s="108"/>
      <c r="B40" s="3">
        <v>0</v>
      </c>
      <c r="C40" s="3">
        <v>1</v>
      </c>
      <c r="D40" s="3">
        <v>2</v>
      </c>
      <c r="E40" s="3">
        <v>3</v>
      </c>
      <c r="F40" s="3">
        <v>4</v>
      </c>
    </row>
    <row r="41" spans="1:13" x14ac:dyDescent="0.35">
      <c r="A41" s="102" t="s">
        <v>3</v>
      </c>
      <c r="B41" s="110">
        <v>12671786</v>
      </c>
      <c r="C41" s="113">
        <v>25687872</v>
      </c>
      <c r="D41" s="113"/>
      <c r="E41" s="113"/>
      <c r="F41" s="113"/>
    </row>
    <row r="42" spans="1:13" x14ac:dyDescent="0.35">
      <c r="A42" s="103"/>
      <c r="B42" s="111"/>
      <c r="C42" s="114"/>
      <c r="D42" s="114"/>
      <c r="E42" s="114"/>
      <c r="F42" s="114"/>
    </row>
    <row r="43" spans="1:13" x14ac:dyDescent="0.35">
      <c r="A43" s="104"/>
      <c r="B43" s="112"/>
      <c r="C43" s="115"/>
      <c r="D43" s="115"/>
      <c r="E43" s="115"/>
      <c r="F43" s="115"/>
    </row>
    <row r="44" spans="1:13" x14ac:dyDescent="0.35">
      <c r="A44" s="102" t="s">
        <v>4</v>
      </c>
      <c r="B44" s="105"/>
      <c r="C44" s="105">
        <v>34360119</v>
      </c>
      <c r="D44" s="105">
        <v>51628137</v>
      </c>
      <c r="E44" s="105"/>
      <c r="F44" s="105">
        <f>SUM(N8:P10)</f>
        <v>1863750</v>
      </c>
    </row>
    <row r="45" spans="1:13" x14ac:dyDescent="0.35">
      <c r="A45" s="103"/>
      <c r="B45" s="106"/>
      <c r="C45" s="106"/>
      <c r="D45" s="106"/>
      <c r="E45" s="106"/>
      <c r="F45" s="106"/>
    </row>
    <row r="46" spans="1:13" x14ac:dyDescent="0.35">
      <c r="A46" s="104"/>
      <c r="B46" s="107"/>
      <c r="C46" s="107"/>
      <c r="D46" s="107"/>
      <c r="E46" s="107"/>
      <c r="F46" s="107"/>
    </row>
    <row r="47" spans="1:13" x14ac:dyDescent="0.35">
      <c r="A47" s="102" t="s">
        <v>5</v>
      </c>
      <c r="B47" s="105"/>
      <c r="C47" s="105"/>
      <c r="D47" s="105">
        <v>68364913</v>
      </c>
      <c r="E47" s="105">
        <v>76032545</v>
      </c>
      <c r="F47" s="105"/>
    </row>
    <row r="48" spans="1:13" x14ac:dyDescent="0.35">
      <c r="A48" s="103"/>
      <c r="B48" s="106"/>
      <c r="C48" s="106"/>
      <c r="D48" s="106"/>
      <c r="E48" s="106"/>
      <c r="F48" s="106"/>
    </row>
    <row r="49" spans="1:6" x14ac:dyDescent="0.35">
      <c r="A49" s="104"/>
      <c r="B49" s="107"/>
      <c r="C49" s="107"/>
      <c r="D49" s="107"/>
      <c r="E49" s="107"/>
      <c r="F49" s="107"/>
    </row>
    <row r="50" spans="1:6" x14ac:dyDescent="0.35">
      <c r="A50" s="102" t="s">
        <v>6</v>
      </c>
      <c r="B50" s="105"/>
      <c r="C50" s="105"/>
      <c r="D50" s="105"/>
      <c r="E50" s="105">
        <v>31632258</v>
      </c>
      <c r="F50" s="105">
        <f>SUM(N14:P16)</f>
        <v>229597206</v>
      </c>
    </row>
    <row r="51" spans="1:6" x14ac:dyDescent="0.35">
      <c r="A51" s="103"/>
      <c r="B51" s="106"/>
      <c r="C51" s="106"/>
      <c r="D51" s="106"/>
      <c r="E51" s="106"/>
      <c r="F51" s="106"/>
    </row>
    <row r="52" spans="1:6" x14ac:dyDescent="0.35">
      <c r="A52" s="104"/>
      <c r="B52" s="107"/>
      <c r="C52" s="107"/>
      <c r="D52" s="107"/>
      <c r="E52" s="107"/>
      <c r="F52" s="107"/>
    </row>
    <row r="53" spans="1:6" x14ac:dyDescent="0.35">
      <c r="A53" s="102" t="s">
        <v>9</v>
      </c>
      <c r="B53" s="105"/>
      <c r="C53" s="105"/>
      <c r="D53" s="105"/>
      <c r="E53" s="105"/>
      <c r="F53" s="105">
        <f>SUM(N17:P19)</f>
        <v>59154274</v>
      </c>
    </row>
    <row r="54" spans="1:6" x14ac:dyDescent="0.35">
      <c r="A54" s="103"/>
      <c r="B54" s="106"/>
      <c r="C54" s="106"/>
      <c r="D54" s="106"/>
      <c r="E54" s="106"/>
      <c r="F54" s="106"/>
    </row>
    <row r="55" spans="1:6" x14ac:dyDescent="0.35">
      <c r="A55" s="104"/>
      <c r="B55" s="107"/>
      <c r="C55" s="107"/>
      <c r="D55" s="107"/>
      <c r="E55" s="107"/>
      <c r="F55" s="107"/>
    </row>
  </sheetData>
  <mergeCells count="76">
    <mergeCell ref="A1:R1"/>
    <mergeCell ref="A3:A4"/>
    <mergeCell ref="A23:A24"/>
    <mergeCell ref="A25:A27"/>
    <mergeCell ref="H24:I24"/>
    <mergeCell ref="H25:I25"/>
    <mergeCell ref="H26:I26"/>
    <mergeCell ref="H27:I27"/>
    <mergeCell ref="B3:R3"/>
    <mergeCell ref="L24:M24"/>
    <mergeCell ref="L25:M25"/>
    <mergeCell ref="L26:M26"/>
    <mergeCell ref="L27:M27"/>
    <mergeCell ref="A28:A30"/>
    <mergeCell ref="A31:A33"/>
    <mergeCell ref="A34:A36"/>
    <mergeCell ref="B23:E23"/>
    <mergeCell ref="B25:B27"/>
    <mergeCell ref="C25:C27"/>
    <mergeCell ref="D25:D27"/>
    <mergeCell ref="E25:E27"/>
    <mergeCell ref="E34:E36"/>
    <mergeCell ref="D34:D36"/>
    <mergeCell ref="C34:C36"/>
    <mergeCell ref="B34:B36"/>
    <mergeCell ref="E28:E30"/>
    <mergeCell ref="D28:D30"/>
    <mergeCell ref="C28:C30"/>
    <mergeCell ref="H32:I32"/>
    <mergeCell ref="B28:B30"/>
    <mergeCell ref="B31:B33"/>
    <mergeCell ref="C31:C33"/>
    <mergeCell ref="D31:D33"/>
    <mergeCell ref="E31:E33"/>
    <mergeCell ref="L29:M29"/>
    <mergeCell ref="H28:I28"/>
    <mergeCell ref="H29:I29"/>
    <mergeCell ref="H30:I30"/>
    <mergeCell ref="H31:I31"/>
    <mergeCell ref="L28:M28"/>
    <mergeCell ref="E41:E43"/>
    <mergeCell ref="B39:F39"/>
    <mergeCell ref="H33:I33"/>
    <mergeCell ref="H34:I34"/>
    <mergeCell ref="H35:I35"/>
    <mergeCell ref="H36:I36"/>
    <mergeCell ref="F41:F43"/>
    <mergeCell ref="A39:A40"/>
    <mergeCell ref="A41:A43"/>
    <mergeCell ref="B41:B43"/>
    <mergeCell ref="C41:C43"/>
    <mergeCell ref="D41:D43"/>
    <mergeCell ref="C47:C49"/>
    <mergeCell ref="D47:D49"/>
    <mergeCell ref="E47:E49"/>
    <mergeCell ref="A44:A46"/>
    <mergeCell ref="B44:B46"/>
    <mergeCell ref="C44:C46"/>
    <mergeCell ref="D44:D46"/>
    <mergeCell ref="E44:E46"/>
    <mergeCell ref="F44:F46"/>
    <mergeCell ref="F47:F49"/>
    <mergeCell ref="F50:F52"/>
    <mergeCell ref="F53:F55"/>
    <mergeCell ref="A53:A55"/>
    <mergeCell ref="B53:B55"/>
    <mergeCell ref="C53:C55"/>
    <mergeCell ref="D53:D55"/>
    <mergeCell ref="E53:E55"/>
    <mergeCell ref="A50:A52"/>
    <mergeCell ref="B50:B52"/>
    <mergeCell ref="C50:C52"/>
    <mergeCell ref="D50:D52"/>
    <mergeCell ref="E50:E52"/>
    <mergeCell ref="A47:A49"/>
    <mergeCell ref="B47:B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AEB4-DF19-4B60-8C65-F073BBE114B6}">
  <dimension ref="A1:AJ109"/>
  <sheetViews>
    <sheetView zoomScale="52" zoomScaleNormal="90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I102" sqref="I102"/>
    </sheetView>
  </sheetViews>
  <sheetFormatPr defaultRowHeight="14.5" x14ac:dyDescent="0.35"/>
  <cols>
    <col min="1" max="1" width="11.90625" customWidth="1"/>
    <col min="2" max="2" width="13" customWidth="1"/>
    <col min="3" max="3" width="14.26953125" customWidth="1"/>
    <col min="4" max="4" width="13.36328125" customWidth="1"/>
    <col min="5" max="5" width="13.08984375" customWidth="1"/>
    <col min="6" max="16" width="13.6328125" customWidth="1"/>
    <col min="17" max="17" width="13.26953125" customWidth="1"/>
    <col min="18" max="18" width="12.90625" customWidth="1"/>
    <col min="19" max="19" width="12.453125" customWidth="1"/>
    <col min="20" max="20" width="12.90625" customWidth="1"/>
    <col min="21" max="21" width="12.7265625" customWidth="1"/>
    <col min="22" max="22" width="11.7265625" customWidth="1"/>
    <col min="23" max="23" width="14" customWidth="1"/>
    <col min="24" max="24" width="13.08984375" customWidth="1"/>
    <col min="25" max="26" width="12.26953125" customWidth="1"/>
    <col min="27" max="28" width="13.26953125" customWidth="1"/>
    <col min="29" max="29" width="12" customWidth="1"/>
    <col min="30" max="30" width="13.08984375" customWidth="1"/>
    <col min="31" max="31" width="12.1796875" customWidth="1"/>
    <col min="32" max="32" width="13.08984375" customWidth="1"/>
    <col min="33" max="33" width="14.54296875" customWidth="1"/>
    <col min="34" max="34" width="13.26953125" customWidth="1"/>
    <col min="35" max="35" width="12" customWidth="1"/>
    <col min="36" max="36" width="12.453125" customWidth="1"/>
    <col min="37" max="37" width="13.7265625" customWidth="1"/>
    <col min="38" max="38" width="13.08984375" customWidth="1"/>
    <col min="39" max="39" width="15.36328125" customWidth="1"/>
    <col min="40" max="40" width="12" customWidth="1"/>
    <col min="41" max="41" width="8.7265625" customWidth="1"/>
    <col min="42" max="42" width="13.08984375" customWidth="1"/>
  </cols>
  <sheetData>
    <row r="1" spans="1:36" x14ac:dyDescent="0.35">
      <c r="A1" s="121" t="s">
        <v>2</v>
      </c>
      <c r="B1" s="109" t="s">
        <v>1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S1" s="123" t="s">
        <v>2</v>
      </c>
      <c r="T1" s="117" t="s">
        <v>1</v>
      </c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36" x14ac:dyDescent="0.35">
      <c r="A2" s="122"/>
      <c r="B2" s="3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S2" s="124"/>
      <c r="T2" s="5">
        <v>45292</v>
      </c>
      <c r="U2" s="5">
        <v>45323</v>
      </c>
      <c r="V2" s="5">
        <v>45352</v>
      </c>
      <c r="W2" s="5">
        <v>45383</v>
      </c>
      <c r="X2" s="5">
        <v>45413</v>
      </c>
      <c r="Y2" s="5">
        <v>45444</v>
      </c>
      <c r="Z2" s="5">
        <v>45474</v>
      </c>
      <c r="AA2" s="5">
        <v>45505</v>
      </c>
      <c r="AB2" s="5">
        <v>45536</v>
      </c>
      <c r="AC2" s="5">
        <v>45566</v>
      </c>
      <c r="AD2" s="5">
        <v>45597</v>
      </c>
      <c r="AE2" s="5">
        <v>45627</v>
      </c>
      <c r="AF2" s="5">
        <v>45658</v>
      </c>
      <c r="AG2" s="5">
        <v>45689</v>
      </c>
      <c r="AH2" s="5">
        <v>45717</v>
      </c>
      <c r="AI2" s="22">
        <v>45748</v>
      </c>
      <c r="AJ2" s="22">
        <v>45778</v>
      </c>
    </row>
    <row r="3" spans="1:36" x14ac:dyDescent="0.35">
      <c r="A3" s="4">
        <v>45292</v>
      </c>
      <c r="B3" s="54">
        <f>T3</f>
        <v>5000000</v>
      </c>
      <c r="C3" s="55">
        <f>U3</f>
        <v>7137616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S3" s="4">
        <v>45292</v>
      </c>
      <c r="T3" s="24">
        <v>5000000</v>
      </c>
      <c r="U3" s="24">
        <v>7137616</v>
      </c>
      <c r="V3" s="25"/>
      <c r="W3" s="28"/>
      <c r="X3" s="28"/>
      <c r="Y3" s="28"/>
      <c r="Z3" s="48"/>
      <c r="AA3" s="48"/>
      <c r="AB3" s="48"/>
      <c r="AC3" s="19"/>
      <c r="AD3" s="19"/>
      <c r="AE3" s="19"/>
      <c r="AF3" s="14"/>
      <c r="AG3" s="14"/>
      <c r="AH3" s="14"/>
      <c r="AI3" s="21"/>
      <c r="AJ3" s="21"/>
    </row>
    <row r="4" spans="1:36" x14ac:dyDescent="0.35">
      <c r="A4" s="4">
        <v>45323</v>
      </c>
      <c r="B4" s="56">
        <v>0</v>
      </c>
      <c r="C4" s="55">
        <f>V4</f>
        <v>534170</v>
      </c>
      <c r="D4" s="55">
        <f>W4</f>
        <v>9928518</v>
      </c>
      <c r="E4" s="55">
        <f>X4</f>
        <v>2000000</v>
      </c>
      <c r="F4" s="55">
        <f>Y4</f>
        <v>1180575</v>
      </c>
      <c r="G4" s="55"/>
      <c r="H4" s="55"/>
      <c r="I4" s="55"/>
      <c r="J4" s="55"/>
      <c r="K4" s="55"/>
      <c r="L4" s="55"/>
      <c r="M4" s="55"/>
      <c r="N4" s="55"/>
      <c r="O4" s="55"/>
      <c r="P4" s="55"/>
      <c r="S4" s="4">
        <v>45323</v>
      </c>
      <c r="T4" s="26"/>
      <c r="U4" s="26"/>
      <c r="V4" s="27">
        <v>534170</v>
      </c>
      <c r="W4" s="29">
        <v>9928518</v>
      </c>
      <c r="X4" s="29">
        <v>2000000</v>
      </c>
      <c r="Y4" s="30">
        <f>1180575</f>
        <v>1180575</v>
      </c>
      <c r="Z4" s="47"/>
      <c r="AA4" s="47"/>
      <c r="AB4" s="47"/>
      <c r="AC4" s="14"/>
      <c r="AD4" s="14"/>
      <c r="AE4" s="14"/>
      <c r="AF4" s="14"/>
      <c r="AG4" s="14"/>
      <c r="AH4" s="14"/>
      <c r="AI4" s="21"/>
      <c r="AJ4" s="21"/>
    </row>
    <row r="5" spans="1:36" x14ac:dyDescent="0.35">
      <c r="A5" s="4">
        <v>45352</v>
      </c>
      <c r="B5" s="56">
        <v>0</v>
      </c>
      <c r="C5" s="55">
        <f>W5</f>
        <v>13331739</v>
      </c>
      <c r="D5" s="55">
        <f>X5</f>
        <v>1247040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S5" s="4">
        <v>45352</v>
      </c>
      <c r="T5" s="26"/>
      <c r="U5" s="26"/>
      <c r="V5" s="26"/>
      <c r="W5" s="29">
        <v>13331739</v>
      </c>
      <c r="X5" s="30">
        <f>1247040</f>
        <v>1247040</v>
      </c>
      <c r="Y5" s="30"/>
      <c r="Z5" s="47"/>
      <c r="AA5" s="47"/>
      <c r="AB5" s="47"/>
      <c r="AC5" s="14"/>
      <c r="AD5" s="14"/>
      <c r="AE5" s="14"/>
      <c r="AF5" s="14"/>
      <c r="AG5" s="14"/>
      <c r="AH5" s="14"/>
      <c r="AI5" s="21"/>
      <c r="AJ5" s="21"/>
    </row>
    <row r="6" spans="1:36" x14ac:dyDescent="0.35">
      <c r="A6" s="13">
        <v>45383</v>
      </c>
      <c r="B6" s="56">
        <v>0</v>
      </c>
      <c r="C6" s="56">
        <f>X6</f>
        <v>22297640</v>
      </c>
      <c r="D6" s="56">
        <f>Y6</f>
        <v>10189219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S6" s="13">
        <v>45383</v>
      </c>
      <c r="T6" s="14"/>
      <c r="U6" s="14"/>
      <c r="V6" s="14"/>
      <c r="W6" s="26"/>
      <c r="X6" s="27">
        <f>6700000+205140+6892500+4000000+4500000</f>
        <v>22297640</v>
      </c>
      <c r="Y6" s="26">
        <f>4000000+6189219</f>
        <v>10189219</v>
      </c>
      <c r="Z6" s="30"/>
      <c r="AA6" s="30"/>
      <c r="AB6" s="30"/>
      <c r="AC6" s="47"/>
      <c r="AD6" s="47"/>
      <c r="AE6" s="47"/>
      <c r="AF6" s="30"/>
      <c r="AG6" s="30"/>
      <c r="AH6" s="30"/>
      <c r="AI6" s="21"/>
      <c r="AJ6" s="21"/>
    </row>
    <row r="7" spans="1:36" x14ac:dyDescent="0.35">
      <c r="A7" s="13">
        <v>45413</v>
      </c>
      <c r="B7" s="56">
        <v>0</v>
      </c>
      <c r="C7" s="56">
        <f>Y7</f>
        <v>1873260</v>
      </c>
      <c r="D7" s="56">
        <f>Z7</f>
        <v>35669029</v>
      </c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S7" s="13">
        <v>45413</v>
      </c>
      <c r="T7" s="14"/>
      <c r="U7" s="14"/>
      <c r="V7" s="14"/>
      <c r="W7" s="26"/>
      <c r="X7" s="26"/>
      <c r="Y7" s="26">
        <f>1873260</f>
        <v>1873260</v>
      </c>
      <c r="Z7" s="30">
        <f>6397629+29271400</f>
        <v>35669029</v>
      </c>
      <c r="AA7" s="30"/>
      <c r="AB7" s="30"/>
      <c r="AC7" s="47"/>
      <c r="AD7" s="47"/>
      <c r="AE7" s="47"/>
      <c r="AF7" s="30"/>
      <c r="AG7" s="30"/>
      <c r="AH7" s="30"/>
      <c r="AI7" s="21"/>
      <c r="AJ7" s="21"/>
    </row>
    <row r="8" spans="1:36" x14ac:dyDescent="0.35">
      <c r="A8" s="13">
        <v>45444</v>
      </c>
      <c r="B8" s="56">
        <v>0</v>
      </c>
      <c r="C8" s="56">
        <f>Z8</f>
        <v>4500000</v>
      </c>
      <c r="D8" s="56">
        <f>AA8</f>
        <v>11459108</v>
      </c>
      <c r="E8" s="56"/>
      <c r="F8" s="56"/>
      <c r="G8" s="56"/>
      <c r="H8" s="56"/>
      <c r="I8" s="56"/>
      <c r="J8" s="56"/>
      <c r="K8" s="56">
        <f>AH8</f>
        <v>1863750</v>
      </c>
      <c r="L8" s="56"/>
      <c r="M8" s="56"/>
      <c r="N8" s="56"/>
      <c r="O8" s="56"/>
      <c r="P8" s="56"/>
      <c r="S8" s="13">
        <v>45444</v>
      </c>
      <c r="T8" s="14"/>
      <c r="U8" s="14"/>
      <c r="V8" s="14"/>
      <c r="W8" s="26"/>
      <c r="X8" s="26"/>
      <c r="Y8" s="26"/>
      <c r="Z8" s="30">
        <f>4500000</f>
        <v>4500000</v>
      </c>
      <c r="AA8" s="30">
        <f>11459108</f>
        <v>11459108</v>
      </c>
      <c r="AB8" s="30"/>
      <c r="AC8" s="47"/>
      <c r="AD8" s="47"/>
      <c r="AE8" s="47"/>
      <c r="AF8" s="30"/>
      <c r="AG8" s="30"/>
      <c r="AH8" s="31">
        <v>1863750</v>
      </c>
      <c r="AI8" s="21"/>
      <c r="AJ8" s="21"/>
    </row>
    <row r="9" spans="1:36" x14ac:dyDescent="0.35">
      <c r="A9" s="4">
        <v>45474</v>
      </c>
      <c r="B9" s="56">
        <f>Z9</f>
        <v>934638</v>
      </c>
      <c r="C9" s="56">
        <f>AA9</f>
        <v>17460200</v>
      </c>
      <c r="D9" s="56">
        <f>AB9</f>
        <v>37281107</v>
      </c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S9" s="4">
        <v>45474</v>
      </c>
      <c r="T9" s="14"/>
      <c r="U9" s="14"/>
      <c r="V9" s="14"/>
      <c r="W9" s="14"/>
      <c r="X9" s="14"/>
      <c r="Y9" s="14"/>
      <c r="Z9" s="26">
        <v>934638</v>
      </c>
      <c r="AA9" s="26">
        <f>13210200+4250000</f>
        <v>17460200</v>
      </c>
      <c r="AB9" s="26">
        <f>37281107</f>
        <v>37281107</v>
      </c>
      <c r="AC9" s="30"/>
      <c r="AD9" s="30"/>
      <c r="AE9" s="30"/>
      <c r="AF9" s="47"/>
      <c r="AG9" s="47"/>
      <c r="AH9" s="47"/>
      <c r="AI9" s="21"/>
      <c r="AJ9" s="21"/>
    </row>
    <row r="10" spans="1:36" x14ac:dyDescent="0.35">
      <c r="A10" s="4">
        <v>45505</v>
      </c>
      <c r="B10" s="56">
        <f>AA10</f>
        <v>728790</v>
      </c>
      <c r="C10" s="56">
        <f>AB10</f>
        <v>11960178</v>
      </c>
      <c r="D10" s="56">
        <f>AC10</f>
        <v>29390042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S10" s="4">
        <v>45505</v>
      </c>
      <c r="T10" s="14"/>
      <c r="U10" s="14"/>
      <c r="V10" s="14"/>
      <c r="W10" s="14"/>
      <c r="X10" s="14"/>
      <c r="Y10" s="14"/>
      <c r="Z10" s="26"/>
      <c r="AA10" s="26">
        <f>728790</f>
        <v>728790</v>
      </c>
      <c r="AB10" s="26">
        <f>2000000+4500000+5460178</f>
        <v>11960178</v>
      </c>
      <c r="AC10" s="30">
        <f>3237878+26152164</f>
        <v>29390042</v>
      </c>
      <c r="AD10" s="30"/>
      <c r="AE10" s="30"/>
      <c r="AF10" s="47"/>
      <c r="AG10" s="47"/>
      <c r="AH10" s="47"/>
      <c r="AI10" s="21"/>
      <c r="AJ10" s="21"/>
    </row>
    <row r="11" spans="1:36" x14ac:dyDescent="0.35">
      <c r="A11" s="4">
        <v>45536</v>
      </c>
      <c r="B11" s="56">
        <v>0</v>
      </c>
      <c r="C11" s="56">
        <f>AC11</f>
        <v>22214203</v>
      </c>
      <c r="D11" s="56">
        <f>AD11</f>
        <v>24428300</v>
      </c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S11" s="4">
        <v>45536</v>
      </c>
      <c r="T11" s="14"/>
      <c r="U11" s="14"/>
      <c r="V11" s="14"/>
      <c r="W11" s="14"/>
      <c r="X11" s="14"/>
      <c r="Y11" s="14"/>
      <c r="Z11" s="26"/>
      <c r="AA11" s="26"/>
      <c r="AB11" s="26"/>
      <c r="AC11" s="30">
        <f>2297400+8493423+8568030+2855350</f>
        <v>22214203</v>
      </c>
      <c r="AD11" s="30">
        <f>24428300</f>
        <v>24428300</v>
      </c>
      <c r="AE11" s="30"/>
      <c r="AF11" s="47"/>
      <c r="AG11" s="47"/>
      <c r="AH11" s="47"/>
      <c r="AI11" s="21"/>
      <c r="AJ11" s="21"/>
    </row>
    <row r="12" spans="1:36" x14ac:dyDescent="0.35">
      <c r="A12" s="13">
        <v>45566</v>
      </c>
      <c r="B12" s="56">
        <f>AC12</f>
        <v>3647000</v>
      </c>
      <c r="C12" s="56">
        <f>AD12</f>
        <v>19419733</v>
      </c>
      <c r="D12" s="56">
        <f>AE12</f>
        <v>8417325</v>
      </c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S12" s="13">
        <v>45566</v>
      </c>
      <c r="T12" s="14"/>
      <c r="U12" s="14"/>
      <c r="V12" s="14"/>
      <c r="W12" s="14"/>
      <c r="X12" s="14"/>
      <c r="Y12" s="14"/>
      <c r="Z12" s="14"/>
      <c r="AA12" s="14"/>
      <c r="AB12" s="14"/>
      <c r="AC12" s="26">
        <f>3647000</f>
        <v>3647000</v>
      </c>
      <c r="AD12" s="26">
        <f>6647060+2701080+685891+7035702+2350000</f>
        <v>19419733</v>
      </c>
      <c r="AE12" s="26">
        <f>8417325</f>
        <v>8417325</v>
      </c>
      <c r="AF12" s="30"/>
      <c r="AG12" s="30"/>
      <c r="AH12" s="30">
        <v>82089722</v>
      </c>
      <c r="AI12" s="21"/>
      <c r="AJ12" s="21"/>
    </row>
    <row r="13" spans="1:36" x14ac:dyDescent="0.35">
      <c r="A13" s="13">
        <v>45597</v>
      </c>
      <c r="B13" s="56">
        <f>AD13</f>
        <v>148200</v>
      </c>
      <c r="C13" s="56">
        <v>0</v>
      </c>
      <c r="D13" s="56">
        <f>AF13</f>
        <v>15450530</v>
      </c>
      <c r="E13" s="56">
        <f>AG13</f>
        <v>101423278</v>
      </c>
      <c r="F13" s="56">
        <f>AH13</f>
        <v>3399750</v>
      </c>
      <c r="G13" s="56"/>
      <c r="H13" s="56"/>
      <c r="I13" s="56"/>
      <c r="J13" s="56"/>
      <c r="K13" s="56"/>
      <c r="L13" s="56"/>
      <c r="M13" s="56"/>
      <c r="N13" s="56"/>
      <c r="O13" s="56"/>
      <c r="P13" s="56"/>
      <c r="S13" s="13">
        <v>45597</v>
      </c>
      <c r="T13" s="14"/>
      <c r="U13" s="14"/>
      <c r="V13" s="14"/>
      <c r="W13" s="14"/>
      <c r="X13" s="14"/>
      <c r="Y13" s="14"/>
      <c r="Z13" s="14"/>
      <c r="AA13" s="14"/>
      <c r="AB13" s="14"/>
      <c r="AC13" s="26"/>
      <c r="AD13" s="26">
        <f>148200</f>
        <v>148200</v>
      </c>
      <c r="AE13" s="26"/>
      <c r="AF13" s="30">
        <f>7010820+8439710</f>
        <v>15450530</v>
      </c>
      <c r="AG13" s="30">
        <f>8581800+92841478</f>
        <v>101423278</v>
      </c>
      <c r="AH13" s="30">
        <v>3399750</v>
      </c>
      <c r="AI13" s="21"/>
      <c r="AJ13" s="21">
        <v>35280392</v>
      </c>
    </row>
    <row r="14" spans="1:36" x14ac:dyDescent="0.35">
      <c r="A14" s="13">
        <v>45627</v>
      </c>
      <c r="B14" s="56">
        <v>0</v>
      </c>
      <c r="C14" s="56">
        <f>AF14</f>
        <v>18033926</v>
      </c>
      <c r="D14" s="56">
        <f>AG14</f>
        <v>9200000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S14" s="13">
        <v>45627</v>
      </c>
      <c r="T14" s="14"/>
      <c r="U14" s="14"/>
      <c r="V14" s="14"/>
      <c r="W14" s="14"/>
      <c r="X14" s="14"/>
      <c r="Y14" s="14"/>
      <c r="Z14" s="14"/>
      <c r="AA14" s="14"/>
      <c r="AB14" s="14"/>
      <c r="AC14" s="26"/>
      <c r="AD14" s="26"/>
      <c r="AE14" s="26"/>
      <c r="AF14" s="30">
        <f>14374850+1489800+2169276</f>
        <v>18033926</v>
      </c>
      <c r="AG14" s="30">
        <f>4000000+4000000+1200000</f>
        <v>9200000</v>
      </c>
      <c r="AH14" s="30"/>
      <c r="AI14" s="21"/>
      <c r="AJ14" s="21"/>
    </row>
    <row r="15" spans="1:36" x14ac:dyDescent="0.35">
      <c r="A15" s="18">
        <v>45658</v>
      </c>
      <c r="B15" s="56">
        <f>AF15</f>
        <v>3232650</v>
      </c>
      <c r="C15" s="56">
        <f>AG15</f>
        <v>11256457</v>
      </c>
      <c r="D15" s="56">
        <f>AH15</f>
        <v>12244835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S15" s="18">
        <v>45658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26">
        <f>2212150+1020500</f>
        <v>3232650</v>
      </c>
      <c r="AG15" s="26">
        <f>3106457+8150000</f>
        <v>11256457</v>
      </c>
      <c r="AH15" s="26">
        <v>12244835</v>
      </c>
      <c r="AI15" s="21"/>
      <c r="AJ15" s="21"/>
    </row>
    <row r="16" spans="1:36" x14ac:dyDescent="0.35">
      <c r="A16" s="18">
        <v>45689</v>
      </c>
      <c r="B16" s="56">
        <f>AG16</f>
        <v>19020322</v>
      </c>
      <c r="C16" s="56">
        <f>AH16</f>
        <v>8058785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S16" s="18">
        <v>45689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26"/>
      <c r="AG16" s="26">
        <f>19020322</f>
        <v>19020322</v>
      </c>
      <c r="AH16" s="26">
        <v>8058785</v>
      </c>
      <c r="AI16" s="21"/>
      <c r="AJ16" s="21"/>
    </row>
    <row r="17" spans="1:36" x14ac:dyDescent="0.35">
      <c r="A17" s="18">
        <v>45717</v>
      </c>
      <c r="B17" s="56">
        <f>AH17</f>
        <v>5341225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S17" s="18">
        <v>45717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26"/>
      <c r="AG17" s="26"/>
      <c r="AH17" s="26">
        <v>5341225</v>
      </c>
      <c r="AI17" s="21"/>
      <c r="AJ17" s="21">
        <v>28267915</v>
      </c>
    </row>
    <row r="18" spans="1:36" x14ac:dyDescent="0.35">
      <c r="S18" s="20">
        <v>45748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>
        <v>42950003</v>
      </c>
    </row>
    <row r="19" spans="1:36" x14ac:dyDescent="0.35">
      <c r="A19" s="1" t="s">
        <v>10</v>
      </c>
      <c r="S19" s="20">
        <v>45778</v>
      </c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</row>
    <row r="20" spans="1:36" x14ac:dyDescent="0.35">
      <c r="A20" s="121" t="s">
        <v>2</v>
      </c>
      <c r="B20" s="109" t="s">
        <v>1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</row>
    <row r="21" spans="1:36" x14ac:dyDescent="0.35">
      <c r="A21" s="122"/>
      <c r="B21" s="3">
        <v>0</v>
      </c>
      <c r="C21" s="3">
        <v>1</v>
      </c>
      <c r="D21" s="3">
        <v>2</v>
      </c>
      <c r="E21" s="3">
        <v>3</v>
      </c>
      <c r="F21" s="3">
        <v>4</v>
      </c>
      <c r="G21" s="3">
        <v>5</v>
      </c>
      <c r="H21" s="3">
        <v>6</v>
      </c>
      <c r="I21" s="3">
        <v>7</v>
      </c>
      <c r="J21" s="3">
        <v>8</v>
      </c>
      <c r="K21" s="3">
        <v>9</v>
      </c>
      <c r="L21" s="3">
        <v>10</v>
      </c>
      <c r="M21" s="3">
        <v>11</v>
      </c>
      <c r="N21" s="3">
        <v>12</v>
      </c>
      <c r="O21" s="3">
        <v>13</v>
      </c>
      <c r="P21" s="3">
        <v>14</v>
      </c>
    </row>
    <row r="22" spans="1:36" x14ac:dyDescent="0.35">
      <c r="A22" s="4">
        <v>45292</v>
      </c>
      <c r="B22" s="54">
        <f t="shared" ref="B22:B36" si="0">B3</f>
        <v>5000000</v>
      </c>
      <c r="C22" s="55">
        <f>SUM($B$3:C3)</f>
        <v>12137616</v>
      </c>
      <c r="D22" s="55">
        <f>SUM($B$3:D3)</f>
        <v>12137616</v>
      </c>
      <c r="E22" s="55">
        <f>SUM($B$3:E3)</f>
        <v>12137616</v>
      </c>
      <c r="F22" s="55">
        <f>SUM($B$3:F3)</f>
        <v>12137616</v>
      </c>
      <c r="G22" s="55">
        <f>SUM($B$3:G3)</f>
        <v>12137616</v>
      </c>
      <c r="H22" s="55">
        <f>SUM($B$3:H3)</f>
        <v>12137616</v>
      </c>
      <c r="I22" s="55">
        <f>SUM($B$3:I3)</f>
        <v>12137616</v>
      </c>
      <c r="J22" s="55">
        <f>SUM($B$3:J3)</f>
        <v>12137616</v>
      </c>
      <c r="K22" s="55">
        <f>SUM($B$3:K3)</f>
        <v>12137616</v>
      </c>
      <c r="L22" s="55">
        <f>SUM($B$3:L3)</f>
        <v>12137616</v>
      </c>
      <c r="M22" s="55">
        <f>SUM($B$3:M3)</f>
        <v>12137616</v>
      </c>
      <c r="N22" s="55">
        <f>SUM($B$3:N3)</f>
        <v>12137616</v>
      </c>
      <c r="O22" s="55">
        <f>SUM($B$3:O3)</f>
        <v>12137616</v>
      </c>
      <c r="P22" s="55">
        <f>SUM($B$3:P3)</f>
        <v>12137616</v>
      </c>
    </row>
    <row r="23" spans="1:36" x14ac:dyDescent="0.35">
      <c r="A23" s="4">
        <v>45323</v>
      </c>
      <c r="B23" s="54">
        <f t="shared" si="0"/>
        <v>0</v>
      </c>
      <c r="C23" s="55">
        <f>SUM($B$4:C4)</f>
        <v>534170</v>
      </c>
      <c r="D23" s="55">
        <f>SUM($B$4:D4)</f>
        <v>10462688</v>
      </c>
      <c r="E23" s="55">
        <f>SUM($B$4:E4)</f>
        <v>12462688</v>
      </c>
      <c r="F23" s="55">
        <f>SUM($B$4:F4)</f>
        <v>13643263</v>
      </c>
      <c r="G23" s="55">
        <f>SUM($B$4:G4)</f>
        <v>13643263</v>
      </c>
      <c r="H23" s="55">
        <f>SUM($B$4:H4)</f>
        <v>13643263</v>
      </c>
      <c r="I23" s="55">
        <f>SUM($B$4:I4)</f>
        <v>13643263</v>
      </c>
      <c r="J23" s="55">
        <f>SUM($B$4:J4)</f>
        <v>13643263</v>
      </c>
      <c r="K23" s="55">
        <f>SUM($B$4:K4)</f>
        <v>13643263</v>
      </c>
      <c r="L23" s="55">
        <f>SUM($B$4:L4)</f>
        <v>13643263</v>
      </c>
      <c r="M23" s="55">
        <f>SUM($B$4:M4)</f>
        <v>13643263</v>
      </c>
      <c r="N23" s="55">
        <f>SUM($B$4:N4)</f>
        <v>13643263</v>
      </c>
      <c r="O23" s="55">
        <f>SUM($B$4:O4)</f>
        <v>13643263</v>
      </c>
      <c r="P23" s="55"/>
    </row>
    <row r="24" spans="1:36" x14ac:dyDescent="0.35">
      <c r="A24" s="4">
        <v>45352</v>
      </c>
      <c r="B24" s="54">
        <f t="shared" si="0"/>
        <v>0</v>
      </c>
      <c r="C24" s="55">
        <f t="shared" ref="C24:C27" si="1">C5</f>
        <v>13331739</v>
      </c>
      <c r="D24" s="55">
        <f t="shared" ref="D24:D34" si="2">SUM(B5:D5)</f>
        <v>14578779</v>
      </c>
      <c r="E24" s="55">
        <f t="shared" ref="E24:N24" si="3">$D$24</f>
        <v>14578779</v>
      </c>
      <c r="F24" s="55">
        <f t="shared" si="3"/>
        <v>14578779</v>
      </c>
      <c r="G24" s="55">
        <f t="shared" si="3"/>
        <v>14578779</v>
      </c>
      <c r="H24" s="55">
        <f t="shared" si="3"/>
        <v>14578779</v>
      </c>
      <c r="I24" s="55">
        <f t="shared" si="3"/>
        <v>14578779</v>
      </c>
      <c r="J24" s="55">
        <f t="shared" si="3"/>
        <v>14578779</v>
      </c>
      <c r="K24" s="55">
        <f t="shared" si="3"/>
        <v>14578779</v>
      </c>
      <c r="L24" s="55">
        <f t="shared" si="3"/>
        <v>14578779</v>
      </c>
      <c r="M24" s="55">
        <f t="shared" si="3"/>
        <v>14578779</v>
      </c>
      <c r="N24" s="55">
        <f t="shared" si="3"/>
        <v>14578779</v>
      </c>
      <c r="O24" s="55"/>
      <c r="P24" s="55"/>
    </row>
    <row r="25" spans="1:36" x14ac:dyDescent="0.35">
      <c r="A25" s="13">
        <v>45383</v>
      </c>
      <c r="B25" s="56">
        <f t="shared" si="0"/>
        <v>0</v>
      </c>
      <c r="C25" s="56">
        <f t="shared" si="1"/>
        <v>22297640</v>
      </c>
      <c r="D25" s="56">
        <f t="shared" si="2"/>
        <v>32486859</v>
      </c>
      <c r="E25" s="56">
        <f t="shared" ref="E25:M25" si="4">$D$25</f>
        <v>32486859</v>
      </c>
      <c r="F25" s="56">
        <f t="shared" si="4"/>
        <v>32486859</v>
      </c>
      <c r="G25" s="56">
        <f t="shared" si="4"/>
        <v>32486859</v>
      </c>
      <c r="H25" s="56">
        <f t="shared" si="4"/>
        <v>32486859</v>
      </c>
      <c r="I25" s="56">
        <f t="shared" si="4"/>
        <v>32486859</v>
      </c>
      <c r="J25" s="56">
        <f t="shared" si="4"/>
        <v>32486859</v>
      </c>
      <c r="K25" s="56">
        <f t="shared" si="4"/>
        <v>32486859</v>
      </c>
      <c r="L25" s="56">
        <f t="shared" si="4"/>
        <v>32486859</v>
      </c>
      <c r="M25" s="56">
        <f t="shared" si="4"/>
        <v>32486859</v>
      </c>
      <c r="N25" s="56"/>
      <c r="O25" s="56"/>
      <c r="P25" s="56"/>
    </row>
    <row r="26" spans="1:36" x14ac:dyDescent="0.35">
      <c r="A26" s="13">
        <v>45413</v>
      </c>
      <c r="B26" s="56">
        <f t="shared" si="0"/>
        <v>0</v>
      </c>
      <c r="C26" s="56">
        <f t="shared" si="1"/>
        <v>1873260</v>
      </c>
      <c r="D26" s="56">
        <f t="shared" si="2"/>
        <v>37542289</v>
      </c>
      <c r="E26" s="56">
        <f t="shared" ref="E26:L26" si="5">$D$26</f>
        <v>37542289</v>
      </c>
      <c r="F26" s="56">
        <f t="shared" si="5"/>
        <v>37542289</v>
      </c>
      <c r="G26" s="56">
        <f t="shared" si="5"/>
        <v>37542289</v>
      </c>
      <c r="H26" s="56">
        <f t="shared" si="5"/>
        <v>37542289</v>
      </c>
      <c r="I26" s="56">
        <f t="shared" si="5"/>
        <v>37542289</v>
      </c>
      <c r="J26" s="56">
        <f t="shared" si="5"/>
        <v>37542289</v>
      </c>
      <c r="K26" s="56">
        <f t="shared" si="5"/>
        <v>37542289</v>
      </c>
      <c r="L26" s="56">
        <f t="shared" si="5"/>
        <v>37542289</v>
      </c>
      <c r="M26" s="56"/>
      <c r="N26" s="56"/>
      <c r="O26" s="56"/>
      <c r="P26" s="56"/>
    </row>
    <row r="27" spans="1:36" x14ac:dyDescent="0.35">
      <c r="A27" s="13">
        <v>45444</v>
      </c>
      <c r="B27" s="56">
        <f t="shared" si="0"/>
        <v>0</v>
      </c>
      <c r="C27" s="56">
        <f t="shared" si="1"/>
        <v>4500000</v>
      </c>
      <c r="D27" s="56">
        <f t="shared" si="2"/>
        <v>15959108</v>
      </c>
      <c r="E27" s="56">
        <f t="shared" ref="E27:J27" si="6">$D$27</f>
        <v>15959108</v>
      </c>
      <c r="F27" s="56">
        <f t="shared" si="6"/>
        <v>15959108</v>
      </c>
      <c r="G27" s="56">
        <f t="shared" si="6"/>
        <v>15959108</v>
      </c>
      <c r="H27" s="56">
        <f t="shared" si="6"/>
        <v>15959108</v>
      </c>
      <c r="I27" s="56">
        <f t="shared" si="6"/>
        <v>15959108</v>
      </c>
      <c r="J27" s="56">
        <f t="shared" si="6"/>
        <v>15959108</v>
      </c>
      <c r="K27" s="56">
        <f>SUM(B8:K8)</f>
        <v>17822858</v>
      </c>
      <c r="L27" s="56"/>
      <c r="M27" s="56"/>
      <c r="N27" s="56"/>
      <c r="O27" s="56"/>
      <c r="P27" s="56"/>
    </row>
    <row r="28" spans="1:36" x14ac:dyDescent="0.35">
      <c r="A28" s="4">
        <v>45474</v>
      </c>
      <c r="B28" s="56">
        <f t="shared" si="0"/>
        <v>934638</v>
      </c>
      <c r="C28" s="56">
        <f t="shared" ref="C28:C35" si="7">SUM(B9:C9)</f>
        <v>18394838</v>
      </c>
      <c r="D28" s="56">
        <f t="shared" si="2"/>
        <v>55675945</v>
      </c>
      <c r="E28" s="56">
        <f t="shared" ref="E28:J28" si="8">$D$28</f>
        <v>55675945</v>
      </c>
      <c r="F28" s="56">
        <f t="shared" si="8"/>
        <v>55675945</v>
      </c>
      <c r="G28" s="56">
        <f t="shared" si="8"/>
        <v>55675945</v>
      </c>
      <c r="H28" s="56">
        <f t="shared" si="8"/>
        <v>55675945</v>
      </c>
      <c r="I28" s="56">
        <f t="shared" si="8"/>
        <v>55675945</v>
      </c>
      <c r="J28" s="56">
        <f t="shared" si="8"/>
        <v>55675945</v>
      </c>
      <c r="K28" s="56"/>
      <c r="L28" s="56"/>
      <c r="M28" s="56"/>
      <c r="N28" s="56"/>
      <c r="O28" s="56"/>
      <c r="P28" s="56"/>
    </row>
    <row r="29" spans="1:36" x14ac:dyDescent="0.35">
      <c r="A29" s="4">
        <v>45505</v>
      </c>
      <c r="B29" s="56">
        <f t="shared" si="0"/>
        <v>728790</v>
      </c>
      <c r="C29" s="56">
        <f t="shared" si="7"/>
        <v>12688968</v>
      </c>
      <c r="D29" s="56">
        <f t="shared" si="2"/>
        <v>42079010</v>
      </c>
      <c r="E29" s="56">
        <f t="shared" ref="E29:I29" si="9">$D$29</f>
        <v>42079010</v>
      </c>
      <c r="F29" s="56">
        <f t="shared" si="9"/>
        <v>42079010</v>
      </c>
      <c r="G29" s="56">
        <f t="shared" si="9"/>
        <v>42079010</v>
      </c>
      <c r="H29" s="56">
        <f t="shared" si="9"/>
        <v>42079010</v>
      </c>
      <c r="I29" s="56">
        <f t="shared" si="9"/>
        <v>42079010</v>
      </c>
      <c r="J29" s="56"/>
      <c r="K29" s="56"/>
      <c r="L29" s="56"/>
      <c r="M29" s="56"/>
      <c r="N29" s="56"/>
      <c r="O29" s="56"/>
      <c r="P29" s="56"/>
    </row>
    <row r="30" spans="1:36" x14ac:dyDescent="0.35">
      <c r="A30" s="4">
        <v>45536</v>
      </c>
      <c r="B30" s="56">
        <f t="shared" si="0"/>
        <v>0</v>
      </c>
      <c r="C30" s="56">
        <f t="shared" si="7"/>
        <v>22214203</v>
      </c>
      <c r="D30" s="56">
        <f t="shared" si="2"/>
        <v>46642503</v>
      </c>
      <c r="E30" s="56">
        <f t="shared" ref="E30:H30" si="10">$D$30</f>
        <v>46642503</v>
      </c>
      <c r="F30" s="56">
        <f t="shared" si="10"/>
        <v>46642503</v>
      </c>
      <c r="G30" s="56">
        <f t="shared" si="10"/>
        <v>46642503</v>
      </c>
      <c r="H30" s="56">
        <f t="shared" si="10"/>
        <v>46642503</v>
      </c>
      <c r="I30" s="56"/>
      <c r="J30" s="56"/>
      <c r="K30" s="56"/>
      <c r="L30" s="56"/>
      <c r="M30" s="56"/>
      <c r="N30" s="56"/>
      <c r="O30" s="56"/>
      <c r="P30" s="56"/>
    </row>
    <row r="31" spans="1:36" x14ac:dyDescent="0.35">
      <c r="A31" s="13">
        <v>45566</v>
      </c>
      <c r="B31" s="56">
        <f t="shared" si="0"/>
        <v>3647000</v>
      </c>
      <c r="C31" s="56">
        <f t="shared" si="7"/>
        <v>23066733</v>
      </c>
      <c r="D31" s="56">
        <f t="shared" si="2"/>
        <v>31484058</v>
      </c>
      <c r="E31" s="56">
        <f t="shared" ref="E31:G31" si="11">$D$31</f>
        <v>31484058</v>
      </c>
      <c r="F31" s="56">
        <f t="shared" si="11"/>
        <v>31484058</v>
      </c>
      <c r="G31" s="56">
        <f t="shared" si="11"/>
        <v>31484058</v>
      </c>
      <c r="H31" s="56"/>
      <c r="I31" s="56"/>
      <c r="J31" s="56"/>
      <c r="K31" s="56"/>
      <c r="L31" s="56"/>
      <c r="M31" s="56"/>
      <c r="N31" s="56"/>
      <c r="O31" s="56"/>
      <c r="P31" s="56"/>
    </row>
    <row r="32" spans="1:36" x14ac:dyDescent="0.35">
      <c r="A32" s="13">
        <v>45597</v>
      </c>
      <c r="B32" s="56">
        <f t="shared" si="0"/>
        <v>148200</v>
      </c>
      <c r="C32" s="56">
        <f t="shared" si="7"/>
        <v>148200</v>
      </c>
      <c r="D32" s="56">
        <f t="shared" si="2"/>
        <v>15598730</v>
      </c>
      <c r="E32" s="56">
        <f>SUM(B13:E13)</f>
        <v>117022008</v>
      </c>
      <c r="F32" s="56">
        <f>SUM(B13:F13)</f>
        <v>120421758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</row>
    <row r="33" spans="1:16" x14ac:dyDescent="0.35">
      <c r="A33" s="13">
        <v>45627</v>
      </c>
      <c r="B33" s="56">
        <f t="shared" si="0"/>
        <v>0</v>
      </c>
      <c r="C33" s="56">
        <f t="shared" si="7"/>
        <v>18033926</v>
      </c>
      <c r="D33" s="56">
        <f t="shared" si="2"/>
        <v>27233926</v>
      </c>
      <c r="E33" s="56">
        <f>$D$33</f>
        <v>27233926</v>
      </c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</row>
    <row r="34" spans="1:16" x14ac:dyDescent="0.35">
      <c r="A34" s="18">
        <v>45658</v>
      </c>
      <c r="B34" s="56">
        <f t="shared" si="0"/>
        <v>3232650</v>
      </c>
      <c r="C34" s="56">
        <f t="shared" si="7"/>
        <v>14489107</v>
      </c>
      <c r="D34" s="56">
        <f t="shared" si="2"/>
        <v>26733942</v>
      </c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</row>
    <row r="35" spans="1:16" x14ac:dyDescent="0.35">
      <c r="A35" s="18">
        <v>45689</v>
      </c>
      <c r="B35" s="56">
        <f t="shared" si="0"/>
        <v>19020322</v>
      </c>
      <c r="C35" s="56">
        <f t="shared" si="7"/>
        <v>27079107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</row>
    <row r="36" spans="1:16" x14ac:dyDescent="0.35">
      <c r="A36" s="18">
        <v>45717</v>
      </c>
      <c r="B36" s="56">
        <f t="shared" si="0"/>
        <v>5341225</v>
      </c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</row>
    <row r="38" spans="1:16" s="39" customFormat="1" ht="29" x14ac:dyDescent="0.35">
      <c r="A38" s="41"/>
      <c r="B38" s="42" t="s">
        <v>11</v>
      </c>
      <c r="C38" s="42" t="s">
        <v>17</v>
      </c>
    </row>
    <row r="39" spans="1:16" x14ac:dyDescent="0.35">
      <c r="A39" s="33" t="s">
        <v>12</v>
      </c>
      <c r="B39" s="33">
        <f>SUM(C22:C35)/SUM(B22:B35)</f>
        <v>5.8324724868242459</v>
      </c>
      <c r="C39" s="32">
        <f>PRODUCT(B39:B52)</f>
        <v>17.547828107659811</v>
      </c>
      <c r="E39" s="57"/>
    </row>
    <row r="40" spans="1:16" x14ac:dyDescent="0.35">
      <c r="A40" s="34" t="s">
        <v>13</v>
      </c>
      <c r="B40" s="33">
        <f>SUM(D22:D34)/SUM(C22:C34)</f>
        <v>2.2516312525044224</v>
      </c>
      <c r="C40" s="32">
        <f>PRODUCT(B40:B52)</f>
        <v>3.0086431007263132</v>
      </c>
      <c r="E40" s="57"/>
    </row>
    <row r="41" spans="1:16" x14ac:dyDescent="0.35">
      <c r="A41" s="34" t="s">
        <v>14</v>
      </c>
      <c r="B41" s="33">
        <f>SUM(E22:E33)/SUM(D22:D33)</f>
        <v>1.3025120536570929</v>
      </c>
      <c r="C41" s="32">
        <f>PRODUCT(B41:B52)</f>
        <v>1.3362059606251642</v>
      </c>
    </row>
    <row r="42" spans="1:16" x14ac:dyDescent="0.35">
      <c r="A42" s="35" t="s">
        <v>15</v>
      </c>
      <c r="B42" s="36">
        <f>SUM(F22:F32)/SUM(E22:E32)</f>
        <v>1.0109558579785551</v>
      </c>
      <c r="C42" s="32">
        <f>PRODUCT(B42:B52)</f>
        <v>1.0258684031932512</v>
      </c>
    </row>
    <row r="43" spans="1:16" x14ac:dyDescent="0.35">
      <c r="A43" s="35" t="s">
        <v>16</v>
      </c>
      <c r="B43" s="36">
        <f>SUM(G22:G31)/SUM(F22:F31)</f>
        <v>1</v>
      </c>
      <c r="C43" s="32">
        <f>PRODUCT(B43:B52)</f>
        <v>1.0147509360542351</v>
      </c>
    </row>
    <row r="44" spans="1:16" x14ac:dyDescent="0.35">
      <c r="A44" s="35" t="s">
        <v>34</v>
      </c>
      <c r="B44" s="36">
        <f>SUM(H22:H30)/SUM(G22:G30)</f>
        <v>1</v>
      </c>
      <c r="C44" s="32">
        <f>PRODUCT(B44:B52)</f>
        <v>1.0147509360542351</v>
      </c>
    </row>
    <row r="45" spans="1:16" x14ac:dyDescent="0.35">
      <c r="A45" s="35" t="s">
        <v>35</v>
      </c>
      <c r="B45" s="36">
        <f>SUM(I22:I29)/SUM(H22:H29)</f>
        <v>1</v>
      </c>
      <c r="C45" s="32">
        <f>PRODUCT(B45:B52)</f>
        <v>1.0147509360542351</v>
      </c>
    </row>
    <row r="46" spans="1:16" x14ac:dyDescent="0.35">
      <c r="A46" s="35" t="s">
        <v>36</v>
      </c>
      <c r="B46" s="36">
        <f>SUM(J22:J28)/SUM(I22:I28)</f>
        <v>1</v>
      </c>
      <c r="C46" s="32">
        <f>PRODUCT(B46:B52)</f>
        <v>1.0147509360542351</v>
      </c>
    </row>
    <row r="47" spans="1:16" x14ac:dyDescent="0.35">
      <c r="A47" s="35" t="s">
        <v>37</v>
      </c>
      <c r="B47" s="36">
        <f>SUM(K22:K27)/SUM(J22:J27)</f>
        <v>1.0147509360542351</v>
      </c>
      <c r="C47" s="32">
        <f>PRODUCT(B47:B52)</f>
        <v>1.0147509360542351</v>
      </c>
    </row>
    <row r="48" spans="1:16" x14ac:dyDescent="0.35">
      <c r="A48" s="35" t="s">
        <v>38</v>
      </c>
      <c r="B48" s="36">
        <f>SUM(L22:L26)/SUM(K22:K26)</f>
        <v>1</v>
      </c>
      <c r="C48" s="32">
        <f>PRODUCT(B48:B52)</f>
        <v>1</v>
      </c>
    </row>
    <row r="49" spans="1:16" x14ac:dyDescent="0.35">
      <c r="A49" s="35" t="s">
        <v>39</v>
      </c>
      <c r="B49" s="36">
        <f>SUM(M22:M25)/SUM(L22:L25)</f>
        <v>1</v>
      </c>
      <c r="C49" s="32">
        <f>PRODUCT(B49:B52)</f>
        <v>1</v>
      </c>
    </row>
    <row r="50" spans="1:16" x14ac:dyDescent="0.35">
      <c r="A50" s="35" t="s">
        <v>40</v>
      </c>
      <c r="B50" s="36">
        <f>SUM(N22:N24)/SUM(M22:M24)</f>
        <v>1</v>
      </c>
      <c r="C50" s="32">
        <f>PRODUCT(B50:B52)</f>
        <v>1</v>
      </c>
    </row>
    <row r="51" spans="1:16" x14ac:dyDescent="0.35">
      <c r="A51" s="35" t="s">
        <v>41</v>
      </c>
      <c r="B51" s="36">
        <f>SUM(O22:O23)/SUM(N22:N23)</f>
        <v>1</v>
      </c>
      <c r="C51" s="32">
        <f>PRODUCT(B51:B52)</f>
        <v>1</v>
      </c>
    </row>
    <row r="52" spans="1:16" x14ac:dyDescent="0.35">
      <c r="A52" s="35" t="s">
        <v>42</v>
      </c>
      <c r="B52" s="36">
        <f>SUM(P22)/O22</f>
        <v>1</v>
      </c>
      <c r="C52" s="32">
        <f>PRODUCT(B52)</f>
        <v>1</v>
      </c>
    </row>
    <row r="53" spans="1:16" x14ac:dyDescent="0.35">
      <c r="A53" s="37"/>
      <c r="B53" s="38"/>
    </row>
    <row r="54" spans="1:16" ht="14.5" customHeight="1" x14ac:dyDescent="0.35">
      <c r="A54" s="97" t="s">
        <v>18</v>
      </c>
      <c r="B54" s="97"/>
      <c r="C54" s="97"/>
      <c r="D54" s="97"/>
      <c r="E54" s="97"/>
      <c r="F54" s="97"/>
      <c r="G54" s="40"/>
      <c r="H54" s="40"/>
      <c r="I54" s="40"/>
      <c r="J54" s="40"/>
      <c r="K54" s="40"/>
      <c r="L54" s="40"/>
      <c r="M54" s="40"/>
      <c r="N54" s="40"/>
      <c r="O54" s="40"/>
      <c r="P54" s="40"/>
    </row>
    <row r="55" spans="1:16" x14ac:dyDescent="0.35">
      <c r="A55" s="97"/>
      <c r="B55" s="97"/>
      <c r="C55" s="97"/>
      <c r="D55" s="97"/>
      <c r="E55" s="97"/>
      <c r="F55" s="97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1:16" s="39" customFormat="1" ht="28" x14ac:dyDescent="0.35">
      <c r="A56" s="49" t="s">
        <v>19</v>
      </c>
      <c r="B56" s="49" t="s">
        <v>20</v>
      </c>
      <c r="C56" s="49" t="s">
        <v>21</v>
      </c>
      <c r="D56" s="49" t="s">
        <v>22</v>
      </c>
    </row>
    <row r="57" spans="1:16" x14ac:dyDescent="0.35">
      <c r="A57" s="32">
        <v>1</v>
      </c>
      <c r="B57" s="32">
        <f>C52</f>
        <v>1</v>
      </c>
      <c r="C57" s="32">
        <f>1-(1/B57)</f>
        <v>0</v>
      </c>
      <c r="D57" s="58">
        <f>C57</f>
        <v>0</v>
      </c>
    </row>
    <row r="58" spans="1:16" x14ac:dyDescent="0.35">
      <c r="A58" s="32">
        <v>2</v>
      </c>
      <c r="B58" s="32">
        <f>C51</f>
        <v>1</v>
      </c>
      <c r="C58" s="32">
        <f t="shared" ref="C58:C71" si="12">1-(1/B58)</f>
        <v>0</v>
      </c>
      <c r="D58" s="58">
        <f t="shared" ref="D58:D71" si="13">C58</f>
        <v>0</v>
      </c>
    </row>
    <row r="59" spans="1:16" x14ac:dyDescent="0.35">
      <c r="A59" s="32">
        <v>3</v>
      </c>
      <c r="B59" s="32">
        <f>C50</f>
        <v>1</v>
      </c>
      <c r="C59" s="32">
        <f t="shared" si="12"/>
        <v>0</v>
      </c>
      <c r="D59" s="58">
        <f t="shared" si="13"/>
        <v>0</v>
      </c>
    </row>
    <row r="60" spans="1:16" x14ac:dyDescent="0.35">
      <c r="A60" s="32">
        <v>4</v>
      </c>
      <c r="B60" s="32">
        <f>C49</f>
        <v>1</v>
      </c>
      <c r="C60" s="32">
        <f t="shared" si="12"/>
        <v>0</v>
      </c>
      <c r="D60" s="58">
        <f t="shared" si="13"/>
        <v>0</v>
      </c>
    </row>
    <row r="61" spans="1:16" x14ac:dyDescent="0.35">
      <c r="A61" s="32">
        <v>5</v>
      </c>
      <c r="B61" s="32">
        <f>C48</f>
        <v>1</v>
      </c>
      <c r="C61" s="32">
        <f t="shared" si="12"/>
        <v>0</v>
      </c>
      <c r="D61" s="58">
        <f t="shared" si="13"/>
        <v>0</v>
      </c>
    </row>
    <row r="62" spans="1:16" x14ac:dyDescent="0.35">
      <c r="A62" s="32">
        <v>6</v>
      </c>
      <c r="B62" s="32">
        <f>C47</f>
        <v>1.0147509360542351</v>
      </c>
      <c r="C62" s="32">
        <f t="shared" si="12"/>
        <v>1.453650894040337E-2</v>
      </c>
      <c r="D62" s="58">
        <f t="shared" si="13"/>
        <v>1.453650894040337E-2</v>
      </c>
    </row>
    <row r="63" spans="1:16" x14ac:dyDescent="0.35">
      <c r="A63" s="32">
        <v>7</v>
      </c>
      <c r="B63" s="32">
        <f>C46</f>
        <v>1.0147509360542351</v>
      </c>
      <c r="C63" s="32">
        <f t="shared" si="12"/>
        <v>1.453650894040337E-2</v>
      </c>
      <c r="D63" s="58">
        <f t="shared" si="13"/>
        <v>1.453650894040337E-2</v>
      </c>
    </row>
    <row r="64" spans="1:16" x14ac:dyDescent="0.35">
      <c r="A64" s="32">
        <v>8</v>
      </c>
      <c r="B64" s="32">
        <f>C45</f>
        <v>1.0147509360542351</v>
      </c>
      <c r="C64" s="32">
        <f t="shared" si="12"/>
        <v>1.453650894040337E-2</v>
      </c>
      <c r="D64" s="58">
        <f t="shared" si="13"/>
        <v>1.453650894040337E-2</v>
      </c>
    </row>
    <row r="65" spans="1:10" x14ac:dyDescent="0.35">
      <c r="A65" s="32">
        <v>9</v>
      </c>
      <c r="B65" s="32">
        <f>C44</f>
        <v>1.0147509360542351</v>
      </c>
      <c r="C65" s="32">
        <f t="shared" si="12"/>
        <v>1.453650894040337E-2</v>
      </c>
      <c r="D65" s="58">
        <f t="shared" si="13"/>
        <v>1.453650894040337E-2</v>
      </c>
    </row>
    <row r="66" spans="1:10" x14ac:dyDescent="0.35">
      <c r="A66" s="32">
        <v>10</v>
      </c>
      <c r="B66" s="32">
        <f>C43</f>
        <v>1.0147509360542351</v>
      </c>
      <c r="C66" s="32">
        <f t="shared" si="12"/>
        <v>1.453650894040337E-2</v>
      </c>
      <c r="D66" s="58">
        <f t="shared" si="13"/>
        <v>1.453650894040337E-2</v>
      </c>
    </row>
    <row r="67" spans="1:10" x14ac:dyDescent="0.35">
      <c r="A67" s="32">
        <v>11</v>
      </c>
      <c r="B67" s="32">
        <f>C42</f>
        <v>1.0258684031932512</v>
      </c>
      <c r="C67" s="32">
        <f t="shared" si="12"/>
        <v>2.5216102877064772E-2</v>
      </c>
      <c r="D67" s="58">
        <f t="shared" si="13"/>
        <v>2.5216102877064772E-2</v>
      </c>
    </row>
    <row r="68" spans="1:10" x14ac:dyDescent="0.35">
      <c r="A68" s="32">
        <v>12</v>
      </c>
      <c r="B68" s="32">
        <f>C41</f>
        <v>1.3362059606251642</v>
      </c>
      <c r="C68" s="32">
        <f t="shared" si="12"/>
        <v>0.25161237902865297</v>
      </c>
      <c r="D68" s="58">
        <f t="shared" si="13"/>
        <v>0.25161237902865297</v>
      </c>
    </row>
    <row r="69" spans="1:10" x14ac:dyDescent="0.35">
      <c r="A69" s="32">
        <v>13</v>
      </c>
      <c r="B69" s="32">
        <f>C40</f>
        <v>3.0086431007263132</v>
      </c>
      <c r="C69" s="32">
        <f t="shared" si="12"/>
        <v>0.66762425235529221</v>
      </c>
      <c r="D69" s="58">
        <f t="shared" si="13"/>
        <v>0.66762425235529221</v>
      </c>
    </row>
    <row r="70" spans="1:10" x14ac:dyDescent="0.35">
      <c r="A70" s="32">
        <v>14</v>
      </c>
      <c r="B70" s="32">
        <f>C39</f>
        <v>17.547828107659811</v>
      </c>
      <c r="C70" s="32">
        <f t="shared" si="12"/>
        <v>0.9430128906059041</v>
      </c>
      <c r="D70" s="58">
        <f t="shared" si="13"/>
        <v>0.9430128906059041</v>
      </c>
    </row>
    <row r="71" spans="1:10" x14ac:dyDescent="0.35">
      <c r="A71" s="32">
        <v>15</v>
      </c>
      <c r="B71" s="32">
        <f>C39</f>
        <v>17.547828107659811</v>
      </c>
      <c r="C71" s="32">
        <f t="shared" si="12"/>
        <v>0.9430128906059041</v>
      </c>
      <c r="D71" s="58">
        <f t="shared" si="13"/>
        <v>0.9430128906059041</v>
      </c>
    </row>
    <row r="73" spans="1:10" x14ac:dyDescent="0.35">
      <c r="A73" s="1" t="s">
        <v>23</v>
      </c>
    </row>
    <row r="74" spans="1:10" ht="42" x14ac:dyDescent="0.35">
      <c r="A74" s="49" t="s">
        <v>19</v>
      </c>
      <c r="B74" s="49" t="s">
        <v>24</v>
      </c>
      <c r="C74" s="49" t="s">
        <v>26</v>
      </c>
      <c r="D74" s="49" t="s">
        <v>25</v>
      </c>
      <c r="E74" s="49" t="s">
        <v>28</v>
      </c>
      <c r="F74" s="49" t="s">
        <v>29</v>
      </c>
      <c r="G74" s="49" t="s">
        <v>32</v>
      </c>
      <c r="H74" s="49" t="s">
        <v>33</v>
      </c>
      <c r="I74" s="59" t="s">
        <v>43</v>
      </c>
    </row>
    <row r="75" spans="1:10" x14ac:dyDescent="0.35">
      <c r="A75" s="32">
        <v>1</v>
      </c>
      <c r="B75" s="45">
        <f>P22</f>
        <v>12137616</v>
      </c>
      <c r="C75" s="46">
        <f t="shared" ref="C75:C86" si="14">B98</f>
        <v>291922566.38</v>
      </c>
      <c r="D75" s="58">
        <f>B75/C75</f>
        <v>4.1578203941247498E-2</v>
      </c>
      <c r="E75" s="44">
        <f>AVERAGE(D75:D89)</f>
        <v>0.28434629061927158</v>
      </c>
      <c r="F75" s="46">
        <f>E75*C75</f>
        <v>83007098.898211077</v>
      </c>
      <c r="G75" s="46">
        <f>F75*D57</f>
        <v>0</v>
      </c>
      <c r="H75" s="125">
        <f>SUM(G75:G89)</f>
        <v>64382565.538708024</v>
      </c>
      <c r="I75" s="43">
        <f>IF(B75=0,0,ABS(B75-F75)/B75)</f>
        <v>5.8388305329655408</v>
      </c>
    </row>
    <row r="76" spans="1:10" x14ac:dyDescent="0.35">
      <c r="A76" s="32">
        <v>2</v>
      </c>
      <c r="B76" s="45">
        <f>O23</f>
        <v>13643263</v>
      </c>
      <c r="C76" s="46">
        <f t="shared" si="14"/>
        <v>184554129</v>
      </c>
      <c r="D76" s="58">
        <f t="shared" ref="D76:D89" si="15">B76/C76</f>
        <v>7.3925536502084985E-2</v>
      </c>
      <c r="E76" s="44">
        <f t="shared" ref="E76:E89" si="16">$E$75</f>
        <v>0.28434629061927158</v>
      </c>
      <c r="F76" s="46">
        <f t="shared" ref="F76:F89" si="17">E76*C76</f>
        <v>52477281.999620534</v>
      </c>
      <c r="G76" s="46">
        <f t="shared" ref="G76:G89" si="18">F76*D58</f>
        <v>0</v>
      </c>
      <c r="H76" s="126"/>
      <c r="I76" s="43">
        <f t="shared" ref="I76:I89" si="19">IF(B76=0,0,ABS(B76-F76)/B76)</f>
        <v>2.846387920515828</v>
      </c>
    </row>
    <row r="77" spans="1:10" x14ac:dyDescent="0.35">
      <c r="A77" s="32">
        <v>3</v>
      </c>
      <c r="B77" s="45">
        <f>N24</f>
        <v>14578779</v>
      </c>
      <c r="C77" s="46">
        <f t="shared" si="14"/>
        <v>66362446</v>
      </c>
      <c r="D77" s="58">
        <f t="shared" si="15"/>
        <v>0.21968417197883272</v>
      </c>
      <c r="E77" s="44">
        <f t="shared" si="16"/>
        <v>0.28434629061927158</v>
      </c>
      <c r="F77" s="46">
        <f t="shared" si="17"/>
        <v>18869915.356521718</v>
      </c>
      <c r="G77" s="46">
        <f t="shared" si="18"/>
        <v>0</v>
      </c>
      <c r="H77" s="126"/>
      <c r="I77" s="43">
        <f t="shared" si="19"/>
        <v>0.29434127209979094</v>
      </c>
    </row>
    <row r="78" spans="1:10" x14ac:dyDescent="0.35">
      <c r="A78" s="32">
        <v>4</v>
      </c>
      <c r="B78" s="45">
        <f>M25</f>
        <v>32486859</v>
      </c>
      <c r="C78" s="46">
        <f t="shared" si="14"/>
        <v>69966160</v>
      </c>
      <c r="D78" s="58">
        <f t="shared" si="15"/>
        <v>0.46432245245415782</v>
      </c>
      <c r="E78" s="44">
        <f t="shared" si="16"/>
        <v>0.28434629061927158</v>
      </c>
      <c r="F78" s="46">
        <f t="shared" si="17"/>
        <v>19894618.064874455</v>
      </c>
      <c r="G78" s="46">
        <f t="shared" si="18"/>
        <v>0</v>
      </c>
      <c r="H78" s="126"/>
      <c r="I78" s="43">
        <f t="shared" si="19"/>
        <v>0.38761029298417382</v>
      </c>
    </row>
    <row r="79" spans="1:10" x14ac:dyDescent="0.35">
      <c r="A79" s="32">
        <v>5</v>
      </c>
      <c r="B79" s="45">
        <f>L26</f>
        <v>37542289</v>
      </c>
      <c r="C79" s="46">
        <f t="shared" si="14"/>
        <v>69012958</v>
      </c>
      <c r="D79" s="58">
        <f t="shared" si="15"/>
        <v>0.54398898537286289</v>
      </c>
      <c r="E79" s="44">
        <f t="shared" si="16"/>
        <v>0.28434629061927158</v>
      </c>
      <c r="F79" s="46">
        <f t="shared" si="17"/>
        <v>19623578.611963585</v>
      </c>
      <c r="G79" s="46">
        <f t="shared" si="18"/>
        <v>0</v>
      </c>
      <c r="H79" s="126"/>
      <c r="I79" s="43">
        <f t="shared" si="19"/>
        <v>0.47729402935544007</v>
      </c>
      <c r="J79" s="43"/>
    </row>
    <row r="80" spans="1:10" x14ac:dyDescent="0.35">
      <c r="A80" s="32">
        <v>6</v>
      </c>
      <c r="B80" s="45">
        <f>K27</f>
        <v>17822858</v>
      </c>
      <c r="C80" s="46">
        <f t="shared" si="14"/>
        <v>57359759.609999999</v>
      </c>
      <c r="D80" s="58">
        <f t="shared" si="15"/>
        <v>0.31072058392819335</v>
      </c>
      <c r="E80" s="44">
        <f t="shared" si="16"/>
        <v>0.28434629061927158</v>
      </c>
      <c r="F80" s="46">
        <f t="shared" si="17"/>
        <v>16310034.875916615</v>
      </c>
      <c r="G80" s="46">
        <f t="shared" si="18"/>
        <v>237090.96779205263</v>
      </c>
      <c r="H80" s="126"/>
      <c r="I80" s="43">
        <f t="shared" si="19"/>
        <v>8.4881062514406205E-2</v>
      </c>
    </row>
    <row r="81" spans="1:9" x14ac:dyDescent="0.35">
      <c r="A81" s="32">
        <v>7</v>
      </c>
      <c r="B81" s="45">
        <f>J28</f>
        <v>55675945</v>
      </c>
      <c r="C81" s="46">
        <f t="shared" si="14"/>
        <v>156485297</v>
      </c>
      <c r="D81" s="58">
        <f t="shared" si="15"/>
        <v>0.35579026315807805</v>
      </c>
      <c r="E81" s="44">
        <f t="shared" si="16"/>
        <v>0.28434629061927158</v>
      </c>
      <c r="F81" s="46">
        <f t="shared" si="17"/>
        <v>44496013.738405026</v>
      </c>
      <c r="G81" s="46">
        <f t="shared" si="18"/>
        <v>646816.70152063586</v>
      </c>
      <c r="H81" s="126"/>
      <c r="I81" s="43">
        <f t="shared" si="19"/>
        <v>0.20080361925774182</v>
      </c>
    </row>
    <row r="82" spans="1:9" x14ac:dyDescent="0.35">
      <c r="A82" s="32">
        <v>8</v>
      </c>
      <c r="B82" s="45">
        <f>I29</f>
        <v>42079010</v>
      </c>
      <c r="C82" s="46">
        <f t="shared" si="14"/>
        <v>134354150</v>
      </c>
      <c r="D82" s="58">
        <f t="shared" si="15"/>
        <v>0.31319471709656904</v>
      </c>
      <c r="E82" s="44">
        <f t="shared" si="16"/>
        <v>0.28434629061927158</v>
      </c>
      <c r="F82" s="46">
        <f t="shared" si="17"/>
        <v>38203104.181805208</v>
      </c>
      <c r="G82" s="46">
        <f t="shared" si="18"/>
        <v>555339.76548997278</v>
      </c>
      <c r="H82" s="126"/>
      <c r="I82" s="43">
        <f t="shared" si="19"/>
        <v>9.2110195040111253E-2</v>
      </c>
    </row>
    <row r="83" spans="1:9" x14ac:dyDescent="0.35">
      <c r="A83" s="32">
        <v>9</v>
      </c>
      <c r="B83" s="45">
        <f>H30</f>
        <v>46642503</v>
      </c>
      <c r="C83" s="46">
        <f t="shared" si="14"/>
        <v>161427863</v>
      </c>
      <c r="D83" s="58">
        <f t="shared" si="15"/>
        <v>0.28893712729134002</v>
      </c>
      <c r="E83" s="44">
        <f t="shared" si="16"/>
        <v>0.28434629061927158</v>
      </c>
      <c r="F83" s="46">
        <f t="shared" si="17"/>
        <v>45901414.046645954</v>
      </c>
      <c r="G83" s="46">
        <f t="shared" si="18"/>
        <v>667246.31566622574</v>
      </c>
      <c r="H83" s="126"/>
      <c r="I83" s="43">
        <f t="shared" si="19"/>
        <v>1.588870462963889E-2</v>
      </c>
    </row>
    <row r="84" spans="1:9" x14ac:dyDescent="0.35">
      <c r="A84" s="32">
        <v>10</v>
      </c>
      <c r="B84" s="45">
        <f>G31</f>
        <v>31484058</v>
      </c>
      <c r="C84" s="46">
        <f t="shared" si="14"/>
        <v>211270793.56</v>
      </c>
      <c r="D84" s="58">
        <f t="shared" si="15"/>
        <v>0.14902229252553389</v>
      </c>
      <c r="E84" s="44">
        <f t="shared" si="16"/>
        <v>0.28434629061927158</v>
      </c>
      <c r="F84" s="46">
        <f t="shared" si="17"/>
        <v>60074066.464975893</v>
      </c>
      <c r="G84" s="46">
        <f t="shared" si="18"/>
        <v>873267.20425450837</v>
      </c>
      <c r="H84" s="126"/>
      <c r="I84" s="43">
        <f t="shared" si="19"/>
        <v>0.9080788907508649</v>
      </c>
    </row>
    <row r="85" spans="1:9" x14ac:dyDescent="0.35">
      <c r="A85" s="32">
        <v>11</v>
      </c>
      <c r="B85" s="45">
        <f>F32</f>
        <v>120421758</v>
      </c>
      <c r="C85" s="46">
        <f t="shared" si="14"/>
        <v>299304402</v>
      </c>
      <c r="D85" s="58">
        <f t="shared" si="15"/>
        <v>0.40233874675855918</v>
      </c>
      <c r="E85" s="44">
        <f t="shared" si="16"/>
        <v>0.28434629061927158</v>
      </c>
      <c r="F85" s="46">
        <f t="shared" si="17"/>
        <v>85106096.474719286</v>
      </c>
      <c r="G85" s="46">
        <f t="shared" si="18"/>
        <v>2146044.084171921</v>
      </c>
      <c r="H85" s="126"/>
      <c r="I85" s="43">
        <f t="shared" si="19"/>
        <v>0.29326645044727478</v>
      </c>
    </row>
    <row r="86" spans="1:9" x14ac:dyDescent="0.35">
      <c r="A86" s="32">
        <v>12</v>
      </c>
      <c r="B86" s="45">
        <f>E33</f>
        <v>27233926</v>
      </c>
      <c r="C86" s="46">
        <f t="shared" si="14"/>
        <v>97290293</v>
      </c>
      <c r="D86" s="58">
        <f t="shared" si="15"/>
        <v>0.27992439081255516</v>
      </c>
      <c r="E86" s="44">
        <f t="shared" si="16"/>
        <v>0.28434629061927158</v>
      </c>
      <c r="F86" s="46">
        <f t="shared" si="17"/>
        <v>27664133.927812085</v>
      </c>
      <c r="G86" s="46">
        <f t="shared" si="18"/>
        <v>6960638.5513440724</v>
      </c>
      <c r="H86" s="126"/>
      <c r="I86" s="43">
        <f t="shared" si="19"/>
        <v>1.5796764954567496E-2</v>
      </c>
    </row>
    <row r="87" spans="1:9" x14ac:dyDescent="0.35">
      <c r="A87" s="32">
        <v>13</v>
      </c>
      <c r="B87" s="45">
        <f>D34</f>
        <v>26733942</v>
      </c>
      <c r="C87" s="46">
        <f>F98</f>
        <v>101167203.29000001</v>
      </c>
      <c r="D87" s="58">
        <f t="shared" si="15"/>
        <v>0.26425502663512446</v>
      </c>
      <c r="E87" s="44">
        <f t="shared" si="16"/>
        <v>0.28434629061927158</v>
      </c>
      <c r="F87" s="46">
        <f t="shared" si="17"/>
        <v>28766518.98783727</v>
      </c>
      <c r="G87" s="46">
        <f t="shared" si="18"/>
        <v>19205225.732119173</v>
      </c>
      <c r="H87" s="126"/>
      <c r="I87" s="43">
        <f t="shared" si="19"/>
        <v>7.6029827095355787E-2</v>
      </c>
    </row>
    <row r="88" spans="1:9" x14ac:dyDescent="0.35">
      <c r="A88" s="32">
        <v>14</v>
      </c>
      <c r="B88" s="45">
        <f>C35</f>
        <v>27079107</v>
      </c>
      <c r="C88" s="46">
        <f>F99</f>
        <v>56719742</v>
      </c>
      <c r="D88" s="58">
        <f t="shared" si="15"/>
        <v>0.47741943184438324</v>
      </c>
      <c r="E88" s="44">
        <f t="shared" si="16"/>
        <v>0.28434629061927158</v>
      </c>
      <c r="F88" s="46">
        <f t="shared" si="17"/>
        <v>16128048.242582105</v>
      </c>
      <c r="G88" s="46">
        <f t="shared" si="18"/>
        <v>15208957.393068822</v>
      </c>
      <c r="H88" s="126"/>
      <c r="I88" s="43">
        <f t="shared" si="19"/>
        <v>0.40440989274195399</v>
      </c>
    </row>
    <row r="89" spans="1:9" x14ac:dyDescent="0.35">
      <c r="A89" s="32">
        <v>15</v>
      </c>
      <c r="B89" s="45">
        <f>B36</f>
        <v>5341225</v>
      </c>
      <c r="C89" s="46">
        <f>F100</f>
        <v>66688263.390000001</v>
      </c>
      <c r="D89" s="58">
        <f t="shared" si="15"/>
        <v>8.0092428989550268E-2</v>
      </c>
      <c r="E89" s="44">
        <f t="shared" si="16"/>
        <v>0.28434629061927158</v>
      </c>
      <c r="F89" s="46">
        <f t="shared" si="17"/>
        <v>18962560.322787471</v>
      </c>
      <c r="G89" s="46">
        <f t="shared" si="18"/>
        <v>17881938.82328064</v>
      </c>
      <c r="H89" s="127"/>
      <c r="I89" s="43">
        <f t="shared" si="19"/>
        <v>2.550226834253841</v>
      </c>
    </row>
    <row r="90" spans="1:9" x14ac:dyDescent="0.35">
      <c r="I90" s="60">
        <f>AVERAGE(I75:I89)</f>
        <v>0.96573041930710202</v>
      </c>
    </row>
    <row r="91" spans="1:9" x14ac:dyDescent="0.35">
      <c r="A91" t="s">
        <v>27</v>
      </c>
    </row>
    <row r="92" spans="1:9" x14ac:dyDescent="0.35">
      <c r="A92" t="s">
        <v>30</v>
      </c>
    </row>
    <row r="93" spans="1:9" x14ac:dyDescent="0.35">
      <c r="A93" t="s">
        <v>31</v>
      </c>
    </row>
    <row r="97" spans="1:17" x14ac:dyDescent="0.35">
      <c r="A97" s="17" t="s">
        <v>48</v>
      </c>
      <c r="B97" s="99" t="s">
        <v>8</v>
      </c>
      <c r="C97" s="100"/>
      <c r="D97" s="8"/>
      <c r="E97" s="17" t="s">
        <v>7</v>
      </c>
      <c r="F97" s="101" t="s">
        <v>8</v>
      </c>
      <c r="G97" s="101"/>
    </row>
    <row r="98" spans="1:17" x14ac:dyDescent="0.35">
      <c r="A98" s="4">
        <v>45292</v>
      </c>
      <c r="B98" s="91">
        <v>291922566.38</v>
      </c>
      <c r="C98" s="92"/>
      <c r="D98" s="9"/>
      <c r="E98" s="4">
        <v>45658</v>
      </c>
      <c r="F98" s="96">
        <v>101167203.29000001</v>
      </c>
      <c r="G98" s="96"/>
    </row>
    <row r="99" spans="1:17" x14ac:dyDescent="0.35">
      <c r="A99" s="4">
        <v>45323</v>
      </c>
      <c r="B99" s="91">
        <v>184554129</v>
      </c>
      <c r="C99" s="92"/>
      <c r="D99" s="9"/>
      <c r="E99" s="4">
        <v>45689</v>
      </c>
      <c r="F99" s="96">
        <v>56719742</v>
      </c>
      <c r="G99" s="96"/>
    </row>
    <row r="100" spans="1:17" x14ac:dyDescent="0.35">
      <c r="A100" s="4">
        <v>45352</v>
      </c>
      <c r="B100" s="91">
        <v>66362446</v>
      </c>
      <c r="C100" s="92"/>
      <c r="D100" s="9"/>
      <c r="E100" s="4">
        <v>45717</v>
      </c>
      <c r="F100" s="96">
        <v>66688263.390000001</v>
      </c>
      <c r="G100" s="96"/>
    </row>
    <row r="101" spans="1:17" x14ac:dyDescent="0.35">
      <c r="A101" s="13">
        <v>45383</v>
      </c>
      <c r="B101" s="91">
        <v>69966160</v>
      </c>
      <c r="C101" s="92"/>
      <c r="D101" s="9"/>
      <c r="E101" s="23">
        <v>45748</v>
      </c>
      <c r="F101" s="95">
        <v>57962898.5</v>
      </c>
      <c r="G101" s="95"/>
    </row>
    <row r="102" spans="1:17" x14ac:dyDescent="0.35">
      <c r="A102" s="13">
        <v>45413</v>
      </c>
      <c r="B102" s="91">
        <v>69012958</v>
      </c>
      <c r="C102" s="92"/>
      <c r="D102" s="9"/>
      <c r="E102" s="23">
        <v>45778</v>
      </c>
      <c r="F102" s="95">
        <v>55407937</v>
      </c>
      <c r="G102" s="95"/>
    </row>
    <row r="103" spans="1:17" x14ac:dyDescent="0.35">
      <c r="A103" s="13">
        <v>45444</v>
      </c>
      <c r="B103" s="91">
        <v>57359759.609999999</v>
      </c>
      <c r="C103" s="92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 x14ac:dyDescent="0.35">
      <c r="A104" s="4">
        <v>45474</v>
      </c>
      <c r="B104" s="91">
        <v>156485297</v>
      </c>
      <c r="C104" s="92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 x14ac:dyDescent="0.35">
      <c r="A105" s="4">
        <v>45505</v>
      </c>
      <c r="B105" s="91">
        <v>134354150</v>
      </c>
      <c r="C105" s="92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x14ac:dyDescent="0.35">
      <c r="A106" s="4">
        <v>45536</v>
      </c>
      <c r="B106" s="91">
        <v>161427863</v>
      </c>
      <c r="C106" s="92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 x14ac:dyDescent="0.35">
      <c r="A107" s="13">
        <v>45566</v>
      </c>
      <c r="B107" s="91">
        <v>211270793.56</v>
      </c>
      <c r="C107" s="92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x14ac:dyDescent="0.35">
      <c r="A108" s="13">
        <v>45597</v>
      </c>
      <c r="B108" s="91">
        <v>299304402</v>
      </c>
      <c r="C108" s="92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 x14ac:dyDescent="0.35">
      <c r="A109" s="13">
        <v>45627</v>
      </c>
      <c r="B109" s="93">
        <v>97290293</v>
      </c>
      <c r="C109" s="9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</sheetData>
  <mergeCells count="27">
    <mergeCell ref="A20:A21"/>
    <mergeCell ref="B20:P20"/>
    <mergeCell ref="A1:A2"/>
    <mergeCell ref="S1:S2"/>
    <mergeCell ref="T1:AJ1"/>
    <mergeCell ref="B1:P1"/>
    <mergeCell ref="A54:F55"/>
    <mergeCell ref="B97:C97"/>
    <mergeCell ref="B98:C98"/>
    <mergeCell ref="F97:G97"/>
    <mergeCell ref="H75:H89"/>
    <mergeCell ref="B107:C107"/>
    <mergeCell ref="B108:C108"/>
    <mergeCell ref="B109:C109"/>
    <mergeCell ref="F98:G98"/>
    <mergeCell ref="F99:G99"/>
    <mergeCell ref="F100:G100"/>
    <mergeCell ref="F101:G101"/>
    <mergeCell ref="F102:G102"/>
    <mergeCell ref="B102:C102"/>
    <mergeCell ref="B103:C103"/>
    <mergeCell ref="B104:C104"/>
    <mergeCell ref="B105:C105"/>
    <mergeCell ref="B106:C106"/>
    <mergeCell ref="B99:C99"/>
    <mergeCell ref="B100:C100"/>
    <mergeCell ref="B101:C10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C252-34A9-447A-8F2C-25BBAF65B17B}">
  <dimension ref="A1:AF80"/>
  <sheetViews>
    <sheetView zoomScale="53" zoomScaleNormal="87" workbookViewId="0">
      <selection activeCell="H66" sqref="H66"/>
    </sheetView>
  </sheetViews>
  <sheetFormatPr defaultRowHeight="14.5" x14ac:dyDescent="0.35"/>
  <cols>
    <col min="1" max="1" width="11.90625" customWidth="1"/>
    <col min="2" max="2" width="13" customWidth="1"/>
    <col min="3" max="3" width="14.26953125" customWidth="1"/>
    <col min="4" max="4" width="13.36328125" customWidth="1"/>
    <col min="5" max="5" width="13.08984375" customWidth="1"/>
    <col min="6" max="6" width="13.6328125" customWidth="1"/>
    <col min="7" max="7" width="13.26953125" customWidth="1"/>
    <col min="8" max="8" width="12.90625" customWidth="1"/>
    <col min="9" max="9" width="12.453125" customWidth="1"/>
    <col min="10" max="10" width="12.90625" customWidth="1"/>
    <col min="11" max="11" width="12.7265625" customWidth="1"/>
    <col min="12" max="12" width="11.7265625" customWidth="1"/>
    <col min="13" max="13" width="14" customWidth="1"/>
    <col min="16" max="16" width="12.26953125" customWidth="1"/>
    <col min="17" max="18" width="13.26953125" customWidth="1"/>
    <col min="19" max="19" width="12" customWidth="1"/>
    <col min="20" max="20" width="13.08984375" customWidth="1"/>
    <col min="21" max="21" width="12.1796875" customWidth="1"/>
    <col min="22" max="22" width="13.08984375" customWidth="1"/>
    <col min="23" max="23" width="12" customWidth="1"/>
    <col min="24" max="24" width="13.26953125" customWidth="1"/>
    <col min="25" max="25" width="12" customWidth="1"/>
    <col min="26" max="26" width="12.453125" customWidth="1"/>
    <col min="27" max="27" width="13.7265625" customWidth="1"/>
    <col min="28" max="28" width="13.08984375" customWidth="1"/>
    <col min="29" max="29" width="15.36328125" customWidth="1"/>
    <col min="30" max="30" width="12" customWidth="1"/>
    <col min="31" max="31" width="8.7265625" customWidth="1"/>
    <col min="32" max="32" width="13.08984375" customWidth="1"/>
  </cols>
  <sheetData>
    <row r="1" spans="1:32" x14ac:dyDescent="0.35">
      <c r="A1" s="108" t="s">
        <v>2</v>
      </c>
      <c r="B1" s="109" t="s">
        <v>1</v>
      </c>
      <c r="C1" s="109"/>
      <c r="D1" s="109"/>
      <c r="E1" s="109"/>
      <c r="F1" s="109"/>
      <c r="H1" s="108" t="s">
        <v>2</v>
      </c>
      <c r="I1" s="109" t="s">
        <v>1</v>
      </c>
      <c r="J1" s="109"/>
      <c r="K1" s="109"/>
      <c r="L1" s="109"/>
      <c r="M1" s="109"/>
      <c r="O1" s="116" t="s">
        <v>2</v>
      </c>
      <c r="P1" s="117" t="s">
        <v>1</v>
      </c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</row>
    <row r="2" spans="1:32" x14ac:dyDescent="0.35">
      <c r="A2" s="108"/>
      <c r="B2" s="3" t="s">
        <v>3</v>
      </c>
      <c r="C2" s="3" t="s">
        <v>4</v>
      </c>
      <c r="D2" s="3" t="s">
        <v>5</v>
      </c>
      <c r="E2" s="3" t="s">
        <v>6</v>
      </c>
      <c r="F2" s="3" t="s">
        <v>9</v>
      </c>
      <c r="H2" s="108"/>
      <c r="I2" s="3">
        <v>0</v>
      </c>
      <c r="J2" s="3">
        <v>1</v>
      </c>
      <c r="K2" s="3">
        <v>2</v>
      </c>
      <c r="L2" s="3">
        <v>3</v>
      </c>
      <c r="M2" s="3">
        <v>4</v>
      </c>
      <c r="O2" s="116"/>
      <c r="P2" s="5">
        <v>45292</v>
      </c>
      <c r="Q2" s="5">
        <v>45323</v>
      </c>
      <c r="R2" s="5">
        <v>45352</v>
      </c>
      <c r="S2" s="5">
        <v>45383</v>
      </c>
      <c r="T2" s="5">
        <v>45413</v>
      </c>
      <c r="U2" s="5">
        <v>45444</v>
      </c>
      <c r="V2" s="5">
        <v>45474</v>
      </c>
      <c r="W2" s="5">
        <v>45505</v>
      </c>
      <c r="X2" s="5">
        <v>45536</v>
      </c>
      <c r="Y2" s="5">
        <v>45566</v>
      </c>
      <c r="Z2" s="5">
        <v>45597</v>
      </c>
      <c r="AA2" s="5">
        <v>45627</v>
      </c>
      <c r="AB2" s="5">
        <v>45658</v>
      </c>
      <c r="AC2" s="5">
        <v>45689</v>
      </c>
      <c r="AD2" s="5">
        <v>45717</v>
      </c>
      <c r="AE2" s="22">
        <v>45748</v>
      </c>
      <c r="AF2" s="22">
        <v>45778</v>
      </c>
    </row>
    <row r="3" spans="1:32" x14ac:dyDescent="0.35">
      <c r="A3" s="102" t="s">
        <v>3</v>
      </c>
      <c r="B3" s="110">
        <v>12671786</v>
      </c>
      <c r="C3" s="113">
        <v>25687872</v>
      </c>
      <c r="D3" s="113"/>
      <c r="E3" s="113"/>
      <c r="F3" s="113"/>
      <c r="H3" s="102" t="s">
        <v>3</v>
      </c>
      <c r="I3" s="110">
        <f>SUM(P3:R5)</f>
        <v>25797276</v>
      </c>
      <c r="J3" s="113">
        <f>SUM(S3:U5)</f>
        <v>81759137</v>
      </c>
      <c r="K3" s="113">
        <f>SUM(V3:X5)</f>
        <v>33556405</v>
      </c>
      <c r="L3" s="113">
        <f>SUM(Y3:AA5)</f>
        <v>17082950</v>
      </c>
      <c r="M3" s="113">
        <f>SUM(AB3:AD5)</f>
        <v>13389486</v>
      </c>
      <c r="O3" s="4">
        <v>45292</v>
      </c>
      <c r="P3" s="24">
        <v>5000000</v>
      </c>
      <c r="Q3" s="24">
        <v>7137616</v>
      </c>
      <c r="R3" s="25">
        <v>11125490</v>
      </c>
      <c r="S3" s="28">
        <v>3270000</v>
      </c>
      <c r="T3" s="28">
        <v>35101265</v>
      </c>
      <c r="U3" s="28">
        <v>17700000</v>
      </c>
      <c r="V3" s="48">
        <v>3500000</v>
      </c>
      <c r="W3" s="48">
        <v>12366055</v>
      </c>
      <c r="X3" s="48"/>
      <c r="Y3" s="19">
        <v>8152950</v>
      </c>
      <c r="Z3" s="19"/>
      <c r="AA3" s="19"/>
      <c r="AB3" s="14"/>
      <c r="AC3" s="14"/>
      <c r="AD3" s="14"/>
      <c r="AE3" s="21"/>
      <c r="AF3" s="21"/>
    </row>
    <row r="4" spans="1:32" x14ac:dyDescent="0.35">
      <c r="A4" s="103"/>
      <c r="B4" s="111"/>
      <c r="C4" s="114"/>
      <c r="D4" s="114"/>
      <c r="E4" s="114"/>
      <c r="F4" s="114"/>
      <c r="H4" s="103"/>
      <c r="I4" s="111"/>
      <c r="J4" s="114"/>
      <c r="K4" s="114"/>
      <c r="L4" s="114"/>
      <c r="M4" s="114"/>
      <c r="O4" s="4">
        <v>45323</v>
      </c>
      <c r="P4" s="26"/>
      <c r="Q4" s="26">
        <v>0</v>
      </c>
      <c r="R4" s="27">
        <v>534170</v>
      </c>
      <c r="S4" s="29">
        <v>7928518</v>
      </c>
      <c r="T4" s="29">
        <v>2000000</v>
      </c>
      <c r="U4" s="30">
        <v>1180575</v>
      </c>
      <c r="V4" s="47">
        <v>10849400</v>
      </c>
      <c r="W4" s="47">
        <v>4840950</v>
      </c>
      <c r="X4" s="47"/>
      <c r="Y4" s="14">
        <v>6430000</v>
      </c>
      <c r="Z4" s="14"/>
      <c r="AA4" s="14">
        <v>2500000</v>
      </c>
      <c r="AB4" s="14">
        <v>13389486</v>
      </c>
      <c r="AC4" s="14"/>
      <c r="AD4" s="14"/>
      <c r="AE4" s="21"/>
      <c r="AF4" s="21"/>
    </row>
    <row r="5" spans="1:32" x14ac:dyDescent="0.35">
      <c r="A5" s="104"/>
      <c r="B5" s="112"/>
      <c r="C5" s="115"/>
      <c r="D5" s="115"/>
      <c r="E5" s="115"/>
      <c r="F5" s="115"/>
      <c r="H5" s="104"/>
      <c r="I5" s="112"/>
      <c r="J5" s="115"/>
      <c r="K5" s="115"/>
      <c r="L5" s="115"/>
      <c r="M5" s="115"/>
      <c r="O5" s="4">
        <v>45352</v>
      </c>
      <c r="P5" s="26"/>
      <c r="Q5" s="26"/>
      <c r="R5" s="26">
        <v>2000000</v>
      </c>
      <c r="S5" s="29">
        <v>13331739</v>
      </c>
      <c r="T5" s="30">
        <v>1247040</v>
      </c>
      <c r="U5" s="30"/>
      <c r="V5" s="47">
        <v>2000000</v>
      </c>
      <c r="W5" s="47"/>
      <c r="X5" s="47"/>
      <c r="Y5" s="14"/>
      <c r="Z5" s="14"/>
      <c r="AA5" s="14"/>
      <c r="AB5" s="14"/>
      <c r="AC5" s="14"/>
      <c r="AD5" s="14"/>
      <c r="AE5" s="21"/>
      <c r="AF5" s="21"/>
    </row>
    <row r="6" spans="1:32" x14ac:dyDescent="0.35">
      <c r="A6" s="102" t="s">
        <v>4</v>
      </c>
      <c r="B6" s="105"/>
      <c r="C6" s="105">
        <v>34360119</v>
      </c>
      <c r="D6" s="105">
        <v>51628137</v>
      </c>
      <c r="E6" s="105"/>
      <c r="F6" s="105">
        <v>1863750</v>
      </c>
      <c r="H6" s="102" t="s">
        <v>4</v>
      </c>
      <c r="I6" s="105">
        <f>SUM(S6:U8)</f>
        <v>43977775</v>
      </c>
      <c r="J6" s="105">
        <f>SUM(V6:X8)</f>
        <v>55668137</v>
      </c>
      <c r="K6" s="105"/>
      <c r="L6" s="105">
        <f>SUM(AB6:AD8)</f>
        <v>1863750</v>
      </c>
      <c r="M6" s="105"/>
      <c r="O6" s="13">
        <v>45383</v>
      </c>
      <c r="P6" s="14"/>
      <c r="Q6" s="14"/>
      <c r="R6" s="14"/>
      <c r="S6" s="26">
        <v>3000000</v>
      </c>
      <c r="T6" s="27">
        <v>22297640</v>
      </c>
      <c r="U6" s="26">
        <v>10189219</v>
      </c>
      <c r="V6" s="30"/>
      <c r="W6" s="30"/>
      <c r="X6" s="30">
        <v>500000</v>
      </c>
      <c r="Y6" s="47"/>
      <c r="Z6" s="47"/>
      <c r="AA6" s="47"/>
      <c r="AB6" s="30"/>
      <c r="AC6" s="30"/>
      <c r="AD6" s="30"/>
      <c r="AE6" s="21"/>
      <c r="AF6" s="21"/>
    </row>
    <row r="7" spans="1:32" x14ac:dyDescent="0.35">
      <c r="A7" s="103"/>
      <c r="B7" s="106"/>
      <c r="C7" s="106"/>
      <c r="D7" s="106"/>
      <c r="E7" s="106"/>
      <c r="F7" s="106"/>
      <c r="H7" s="103"/>
      <c r="I7" s="106"/>
      <c r="J7" s="106"/>
      <c r="K7" s="106"/>
      <c r="L7" s="106"/>
      <c r="M7" s="106"/>
      <c r="O7" s="13">
        <v>45413</v>
      </c>
      <c r="P7" s="14"/>
      <c r="Q7" s="14"/>
      <c r="R7" s="14"/>
      <c r="S7" s="26"/>
      <c r="T7" s="26">
        <v>0</v>
      </c>
      <c r="U7" s="26">
        <v>1873260</v>
      </c>
      <c r="V7" s="30">
        <v>35669029</v>
      </c>
      <c r="W7" s="30"/>
      <c r="X7" s="30">
        <v>1540000</v>
      </c>
      <c r="Y7" s="47"/>
      <c r="Z7" s="47"/>
      <c r="AA7" s="47"/>
      <c r="AB7" s="30"/>
      <c r="AC7" s="30"/>
      <c r="AD7" s="30"/>
      <c r="AE7" s="21"/>
      <c r="AF7" s="21"/>
    </row>
    <row r="8" spans="1:32" x14ac:dyDescent="0.35">
      <c r="A8" s="104"/>
      <c r="B8" s="107"/>
      <c r="C8" s="107"/>
      <c r="D8" s="107"/>
      <c r="E8" s="107"/>
      <c r="F8" s="107"/>
      <c r="H8" s="104"/>
      <c r="I8" s="107"/>
      <c r="J8" s="107"/>
      <c r="K8" s="107"/>
      <c r="L8" s="107"/>
      <c r="M8" s="107"/>
      <c r="O8" s="13">
        <v>45444</v>
      </c>
      <c r="P8" s="14"/>
      <c r="Q8" s="14"/>
      <c r="R8" s="14"/>
      <c r="S8" s="26"/>
      <c r="T8" s="26"/>
      <c r="U8" s="26">
        <v>6617656</v>
      </c>
      <c r="V8" s="30">
        <v>4500000</v>
      </c>
      <c r="W8" s="30">
        <v>11459108</v>
      </c>
      <c r="X8" s="30">
        <v>2000000</v>
      </c>
      <c r="Y8" s="47"/>
      <c r="Z8" s="47"/>
      <c r="AA8" s="47"/>
      <c r="AB8" s="30"/>
      <c r="AC8" s="30"/>
      <c r="AD8" s="31">
        <v>1863750</v>
      </c>
      <c r="AE8" s="21"/>
      <c r="AF8" s="21"/>
    </row>
    <row r="9" spans="1:32" x14ac:dyDescent="0.35">
      <c r="A9" s="102" t="s">
        <v>5</v>
      </c>
      <c r="B9" s="105"/>
      <c r="C9" s="105"/>
      <c r="D9" s="105">
        <v>68364913</v>
      </c>
      <c r="E9" s="105">
        <v>76032545</v>
      </c>
      <c r="F9" s="105"/>
      <c r="H9" s="102" t="s">
        <v>5</v>
      </c>
      <c r="I9" s="105">
        <f>SUM(V9:X11)</f>
        <v>69219913</v>
      </c>
      <c r="J9" s="105">
        <f>SUM(Y9:AA11)</f>
        <v>89721513</v>
      </c>
      <c r="K9" s="105">
        <f>SUM(AB9:AD11)</f>
        <v>29390042</v>
      </c>
      <c r="L9" s="105"/>
      <c r="M9" s="105"/>
      <c r="O9" s="4">
        <v>45474</v>
      </c>
      <c r="P9" s="14"/>
      <c r="Q9" s="14"/>
      <c r="R9" s="14"/>
      <c r="S9" s="14"/>
      <c r="T9" s="14"/>
      <c r="U9" s="14"/>
      <c r="V9" s="26">
        <v>934638</v>
      </c>
      <c r="W9" s="26">
        <v>17460200</v>
      </c>
      <c r="X9" s="26">
        <v>37281107</v>
      </c>
      <c r="Y9" s="30"/>
      <c r="Z9" s="30">
        <v>1000000</v>
      </c>
      <c r="AA9" s="30"/>
      <c r="AB9" s="47"/>
      <c r="AC9" s="47"/>
      <c r="AD9" s="47"/>
      <c r="AE9" s="21"/>
      <c r="AF9" s="21"/>
    </row>
    <row r="10" spans="1:32" x14ac:dyDescent="0.35">
      <c r="A10" s="103"/>
      <c r="B10" s="106"/>
      <c r="C10" s="106"/>
      <c r="D10" s="106"/>
      <c r="E10" s="106"/>
      <c r="F10" s="106"/>
      <c r="H10" s="103"/>
      <c r="I10" s="106"/>
      <c r="J10" s="106"/>
      <c r="K10" s="106"/>
      <c r="L10" s="106"/>
      <c r="M10" s="106"/>
      <c r="O10" s="4">
        <v>45505</v>
      </c>
      <c r="P10" s="14"/>
      <c r="Q10" s="14"/>
      <c r="R10" s="14"/>
      <c r="S10" s="14"/>
      <c r="T10" s="14"/>
      <c r="U10" s="14"/>
      <c r="V10" s="26"/>
      <c r="W10" s="26">
        <v>728790</v>
      </c>
      <c r="X10" s="26">
        <v>11960178</v>
      </c>
      <c r="Y10" s="30">
        <v>29390042</v>
      </c>
      <c r="Z10" s="30">
        <v>728790</v>
      </c>
      <c r="AA10" s="30">
        <v>11960178</v>
      </c>
      <c r="AB10" s="47">
        <v>29390042</v>
      </c>
      <c r="AC10" s="47"/>
      <c r="AD10" s="47"/>
      <c r="AE10" s="21"/>
      <c r="AF10" s="21"/>
    </row>
    <row r="11" spans="1:32" x14ac:dyDescent="0.35">
      <c r="A11" s="104"/>
      <c r="B11" s="107"/>
      <c r="C11" s="107"/>
      <c r="D11" s="107"/>
      <c r="E11" s="107"/>
      <c r="F11" s="107"/>
      <c r="H11" s="104"/>
      <c r="I11" s="107"/>
      <c r="J11" s="107"/>
      <c r="K11" s="107"/>
      <c r="L11" s="107"/>
      <c r="M11" s="107"/>
      <c r="O11" s="4">
        <v>45536</v>
      </c>
      <c r="P11" s="14"/>
      <c r="Q11" s="14"/>
      <c r="R11" s="14"/>
      <c r="S11" s="14"/>
      <c r="T11" s="14"/>
      <c r="U11" s="14"/>
      <c r="V11" s="26"/>
      <c r="W11" s="26"/>
      <c r="X11" s="26">
        <v>855000</v>
      </c>
      <c r="Y11" s="30">
        <v>22214203</v>
      </c>
      <c r="Z11" s="30">
        <v>24428300</v>
      </c>
      <c r="AA11" s="30"/>
      <c r="AB11" s="47"/>
      <c r="AC11" s="47"/>
      <c r="AD11" s="47"/>
      <c r="AE11" s="21"/>
      <c r="AF11" s="21"/>
    </row>
    <row r="12" spans="1:32" x14ac:dyDescent="0.35">
      <c r="A12" s="102" t="s">
        <v>6</v>
      </c>
      <c r="B12" s="105"/>
      <c r="C12" s="105"/>
      <c r="D12" s="105"/>
      <c r="E12" s="105">
        <v>31632258</v>
      </c>
      <c r="F12" s="105">
        <v>229597206</v>
      </c>
      <c r="H12" s="102" t="s">
        <v>6</v>
      </c>
      <c r="I12" s="105">
        <f>SUM(Y12:AA14)</f>
        <v>31632258</v>
      </c>
      <c r="J12" s="105">
        <f>SUM(AB12:AD14)</f>
        <v>197652484</v>
      </c>
      <c r="K12" s="105"/>
      <c r="L12" s="105"/>
      <c r="M12" s="105"/>
      <c r="O12" s="13">
        <v>45566</v>
      </c>
      <c r="P12" s="14"/>
      <c r="Q12" s="14"/>
      <c r="R12" s="14"/>
      <c r="S12" s="14"/>
      <c r="T12" s="14"/>
      <c r="U12" s="14"/>
      <c r="V12" s="14"/>
      <c r="W12" s="14"/>
      <c r="X12" s="14"/>
      <c r="Y12" s="26">
        <v>3647000</v>
      </c>
      <c r="Z12" s="26">
        <v>19419733</v>
      </c>
      <c r="AA12" s="26">
        <v>8417325</v>
      </c>
      <c r="AB12" s="30"/>
      <c r="AC12" s="30">
        <v>6165000</v>
      </c>
      <c r="AD12" s="30">
        <v>43980000</v>
      </c>
      <c r="AE12" s="21"/>
      <c r="AF12" s="21"/>
    </row>
    <row r="13" spans="1:32" x14ac:dyDescent="0.35">
      <c r="A13" s="103"/>
      <c r="B13" s="106"/>
      <c r="C13" s="106"/>
      <c r="D13" s="106"/>
      <c r="E13" s="106"/>
      <c r="F13" s="106"/>
      <c r="H13" s="103"/>
      <c r="I13" s="106"/>
      <c r="J13" s="106"/>
      <c r="K13" s="106"/>
      <c r="L13" s="106"/>
      <c r="M13" s="106"/>
      <c r="O13" s="13">
        <v>45597</v>
      </c>
      <c r="P13" s="14"/>
      <c r="Q13" s="14"/>
      <c r="R13" s="14"/>
      <c r="S13" s="14"/>
      <c r="T13" s="14"/>
      <c r="U13" s="14"/>
      <c r="V13" s="14"/>
      <c r="W13" s="14"/>
      <c r="X13" s="14"/>
      <c r="Y13" s="26"/>
      <c r="Z13" s="26">
        <v>148200</v>
      </c>
      <c r="AA13" s="26">
        <v>0</v>
      </c>
      <c r="AB13" s="30">
        <v>15450530</v>
      </c>
      <c r="AC13" s="30">
        <v>101423278</v>
      </c>
      <c r="AD13" s="30">
        <v>3399750</v>
      </c>
      <c r="AE13" s="21"/>
      <c r="AF13" s="21">
        <v>35280392</v>
      </c>
    </row>
    <row r="14" spans="1:32" x14ac:dyDescent="0.35">
      <c r="A14" s="104"/>
      <c r="B14" s="107"/>
      <c r="C14" s="107"/>
      <c r="D14" s="107"/>
      <c r="E14" s="107"/>
      <c r="F14" s="107"/>
      <c r="H14" s="104"/>
      <c r="I14" s="107"/>
      <c r="J14" s="107"/>
      <c r="K14" s="107"/>
      <c r="L14" s="107"/>
      <c r="M14" s="107"/>
      <c r="O14" s="13">
        <v>45627</v>
      </c>
      <c r="P14" s="14"/>
      <c r="Q14" s="14"/>
      <c r="R14" s="14"/>
      <c r="S14" s="14"/>
      <c r="T14" s="14"/>
      <c r="U14" s="14"/>
      <c r="V14" s="14"/>
      <c r="W14" s="14"/>
      <c r="X14" s="14"/>
      <c r="Y14" s="26"/>
      <c r="Z14" s="26"/>
      <c r="AA14" s="26">
        <v>0</v>
      </c>
      <c r="AB14" s="30">
        <v>18033926</v>
      </c>
      <c r="AC14" s="30">
        <v>9200000</v>
      </c>
      <c r="AD14" s="30"/>
      <c r="AE14" s="21"/>
      <c r="AF14" s="21"/>
    </row>
    <row r="15" spans="1:32" x14ac:dyDescent="0.35">
      <c r="A15" s="102" t="s">
        <v>9</v>
      </c>
      <c r="B15" s="105"/>
      <c r="C15" s="105"/>
      <c r="D15" s="105"/>
      <c r="E15" s="105"/>
      <c r="F15" s="105">
        <v>59154274</v>
      </c>
      <c r="H15" s="102" t="s">
        <v>9</v>
      </c>
      <c r="I15" s="105">
        <f>SUM(AB15:AD17)</f>
        <v>67880114</v>
      </c>
      <c r="J15" s="105"/>
      <c r="K15" s="105"/>
      <c r="L15" s="105"/>
      <c r="M15" s="105"/>
      <c r="O15" s="18">
        <v>45658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26">
        <f>2212150+1020500</f>
        <v>3232650</v>
      </c>
      <c r="AC15" s="26">
        <f>3106457+8150000</f>
        <v>11256457</v>
      </c>
      <c r="AD15" s="26">
        <v>12244835</v>
      </c>
      <c r="AE15" s="21"/>
      <c r="AF15" s="21"/>
    </row>
    <row r="16" spans="1:32" x14ac:dyDescent="0.35">
      <c r="A16" s="103"/>
      <c r="B16" s="106"/>
      <c r="C16" s="106"/>
      <c r="D16" s="106"/>
      <c r="E16" s="106"/>
      <c r="F16" s="106"/>
      <c r="H16" s="103"/>
      <c r="I16" s="106"/>
      <c r="J16" s="106"/>
      <c r="K16" s="106"/>
      <c r="L16" s="106"/>
      <c r="M16" s="106"/>
      <c r="O16" s="18">
        <v>45689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56">
        <f>BF16</f>
        <v>0</v>
      </c>
      <c r="AC16" s="56">
        <v>0</v>
      </c>
      <c r="AD16" s="62">
        <v>35804947</v>
      </c>
      <c r="AE16" s="21"/>
      <c r="AF16" s="21"/>
    </row>
    <row r="17" spans="1:32" x14ac:dyDescent="0.35">
      <c r="A17" s="104"/>
      <c r="B17" s="107"/>
      <c r="C17" s="107"/>
      <c r="D17" s="107"/>
      <c r="E17" s="107"/>
      <c r="F17" s="107"/>
      <c r="H17" s="104"/>
      <c r="I17" s="107"/>
      <c r="J17" s="107"/>
      <c r="K17" s="107"/>
      <c r="L17" s="107"/>
      <c r="M17" s="107"/>
      <c r="O17" s="18">
        <v>45717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26"/>
      <c r="AC17" s="26"/>
      <c r="AD17" s="26">
        <v>5341225</v>
      </c>
      <c r="AE17" s="21"/>
      <c r="AF17" s="21">
        <v>28267915</v>
      </c>
    </row>
    <row r="18" spans="1:32" x14ac:dyDescent="0.35">
      <c r="O18" s="20">
        <v>45748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>
        <v>42950003</v>
      </c>
    </row>
    <row r="19" spans="1:32" x14ac:dyDescent="0.35">
      <c r="A19" s="1" t="s">
        <v>10</v>
      </c>
      <c r="O19" s="20">
        <v>45778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spans="1:32" x14ac:dyDescent="0.35">
      <c r="A20" s="108" t="s">
        <v>2</v>
      </c>
      <c r="B20" s="109" t="s">
        <v>1</v>
      </c>
      <c r="C20" s="109"/>
      <c r="D20" s="109"/>
      <c r="E20" s="109"/>
      <c r="F20" s="109"/>
    </row>
    <row r="21" spans="1:32" x14ac:dyDescent="0.35">
      <c r="A21" s="108"/>
      <c r="B21" s="3">
        <v>0</v>
      </c>
      <c r="C21" s="3">
        <v>1</v>
      </c>
      <c r="D21" s="3">
        <v>2</v>
      </c>
      <c r="E21" s="3">
        <v>3</v>
      </c>
      <c r="F21" s="3">
        <v>4</v>
      </c>
    </row>
    <row r="22" spans="1:32" x14ac:dyDescent="0.35">
      <c r="A22" s="102" t="s">
        <v>3</v>
      </c>
      <c r="B22" s="110">
        <f>I3</f>
        <v>25797276</v>
      </c>
      <c r="C22" s="113">
        <f>I3+J3</f>
        <v>107556413</v>
      </c>
      <c r="D22" s="113">
        <f>I3+J3+K3</f>
        <v>141112818</v>
      </c>
      <c r="E22" s="113">
        <f>I3+J3+K3+L3</f>
        <v>158195768</v>
      </c>
      <c r="F22" s="113">
        <f>I3+J3+K3+L3+M3</f>
        <v>171585254</v>
      </c>
    </row>
    <row r="23" spans="1:32" x14ac:dyDescent="0.35">
      <c r="A23" s="103"/>
      <c r="B23" s="111"/>
      <c r="C23" s="114"/>
      <c r="D23" s="114"/>
      <c r="E23" s="114"/>
      <c r="F23" s="114"/>
    </row>
    <row r="24" spans="1:32" x14ac:dyDescent="0.35">
      <c r="A24" s="104"/>
      <c r="B24" s="112"/>
      <c r="C24" s="115"/>
      <c r="D24" s="115"/>
      <c r="E24" s="115"/>
      <c r="F24" s="115"/>
    </row>
    <row r="25" spans="1:32" x14ac:dyDescent="0.35">
      <c r="A25" s="102" t="s">
        <v>4</v>
      </c>
      <c r="B25" s="105">
        <f>I6</f>
        <v>43977775</v>
      </c>
      <c r="C25" s="105">
        <f>I6+J6</f>
        <v>99645912</v>
      </c>
      <c r="D25" s="105">
        <f>I6+J6+K6</f>
        <v>99645912</v>
      </c>
      <c r="E25" s="105">
        <f>I6+J6+K6+L6</f>
        <v>101509662</v>
      </c>
      <c r="F25" s="105"/>
    </row>
    <row r="26" spans="1:32" x14ac:dyDescent="0.35">
      <c r="A26" s="103"/>
      <c r="B26" s="106"/>
      <c r="C26" s="106"/>
      <c r="D26" s="106"/>
      <c r="E26" s="106"/>
      <c r="F26" s="106"/>
    </row>
    <row r="27" spans="1:32" x14ac:dyDescent="0.35">
      <c r="A27" s="104"/>
      <c r="B27" s="107"/>
      <c r="C27" s="107"/>
      <c r="D27" s="107"/>
      <c r="E27" s="107"/>
      <c r="F27" s="107"/>
    </row>
    <row r="28" spans="1:32" x14ac:dyDescent="0.35">
      <c r="A28" s="102" t="s">
        <v>5</v>
      </c>
      <c r="B28" s="105">
        <f>I9</f>
        <v>69219913</v>
      </c>
      <c r="C28" s="105">
        <f>I9+J9</f>
        <v>158941426</v>
      </c>
      <c r="D28" s="105">
        <f>I9+J9+K9</f>
        <v>188331468</v>
      </c>
      <c r="E28" s="105"/>
      <c r="F28" s="105"/>
    </row>
    <row r="29" spans="1:32" x14ac:dyDescent="0.35">
      <c r="A29" s="103"/>
      <c r="B29" s="106"/>
      <c r="C29" s="106"/>
      <c r="D29" s="106"/>
      <c r="E29" s="106"/>
      <c r="F29" s="106"/>
    </row>
    <row r="30" spans="1:32" x14ac:dyDescent="0.35">
      <c r="A30" s="104"/>
      <c r="B30" s="107"/>
      <c r="C30" s="107"/>
      <c r="D30" s="107"/>
      <c r="E30" s="107"/>
      <c r="F30" s="107"/>
    </row>
    <row r="31" spans="1:32" x14ac:dyDescent="0.35">
      <c r="A31" s="102" t="s">
        <v>6</v>
      </c>
      <c r="B31" s="105">
        <f>I12</f>
        <v>31632258</v>
      </c>
      <c r="C31" s="105">
        <f>I12+J12</f>
        <v>229284742</v>
      </c>
      <c r="D31" s="105"/>
      <c r="E31" s="105"/>
      <c r="F31" s="105"/>
    </row>
    <row r="32" spans="1:32" x14ac:dyDescent="0.35">
      <c r="A32" s="103"/>
      <c r="B32" s="106"/>
      <c r="C32" s="106"/>
      <c r="D32" s="106"/>
      <c r="E32" s="106"/>
      <c r="F32" s="106"/>
    </row>
    <row r="33" spans="1:6" x14ac:dyDescent="0.35">
      <c r="A33" s="104"/>
      <c r="B33" s="107"/>
      <c r="C33" s="107"/>
      <c r="D33" s="107"/>
      <c r="E33" s="107"/>
      <c r="F33" s="107"/>
    </row>
    <row r="34" spans="1:6" x14ac:dyDescent="0.35">
      <c r="A34" s="102" t="s">
        <v>9</v>
      </c>
      <c r="B34" s="105">
        <f>I15</f>
        <v>67880114</v>
      </c>
      <c r="C34" s="105"/>
      <c r="D34" s="105"/>
      <c r="E34" s="105"/>
      <c r="F34" s="105"/>
    </row>
    <row r="35" spans="1:6" x14ac:dyDescent="0.35">
      <c r="A35" s="103"/>
      <c r="B35" s="106"/>
      <c r="C35" s="106"/>
      <c r="D35" s="106"/>
      <c r="E35" s="106"/>
      <c r="F35" s="106"/>
    </row>
    <row r="36" spans="1:6" x14ac:dyDescent="0.35">
      <c r="A36" s="104"/>
      <c r="B36" s="107"/>
      <c r="C36" s="107"/>
      <c r="D36" s="107"/>
      <c r="E36" s="107"/>
      <c r="F36" s="107"/>
    </row>
    <row r="38" spans="1:6" s="39" customFormat="1" ht="29" x14ac:dyDescent="0.35">
      <c r="A38" s="41"/>
      <c r="B38" s="42" t="s">
        <v>11</v>
      </c>
      <c r="C38" s="42" t="s">
        <v>17</v>
      </c>
    </row>
    <row r="39" spans="1:6" x14ac:dyDescent="0.35">
      <c r="A39" s="33" t="s">
        <v>12</v>
      </c>
      <c r="B39" s="33">
        <f>(C22+C25+C28+C31)/(B31+B28+B25+B22)</f>
        <v>3.4896453568235435</v>
      </c>
      <c r="C39" s="32">
        <f>B39*B40*B41*B43</f>
        <v>4.7847841133353084</v>
      </c>
    </row>
    <row r="40" spans="1:6" x14ac:dyDescent="0.35">
      <c r="A40" s="34" t="s">
        <v>13</v>
      </c>
      <c r="B40" s="33">
        <f>(D22+D25+D28)/(C28+C25+C22)</f>
        <v>1.1719173052334846</v>
      </c>
      <c r="C40" s="32">
        <f>B40*B41*B43</f>
        <v>1.3711376441102505</v>
      </c>
    </row>
    <row r="41" spans="1:6" x14ac:dyDescent="0.35">
      <c r="A41" s="34" t="s">
        <v>14</v>
      </c>
      <c r="B41" s="33">
        <f>(E22+E25)/(D25+D22)</f>
        <v>1.0786957964099577</v>
      </c>
      <c r="C41" s="32">
        <f>B41*B43</f>
        <v>1.1699952189349017</v>
      </c>
    </row>
    <row r="42" spans="1:6" x14ac:dyDescent="0.35">
      <c r="A42" s="35" t="s">
        <v>15</v>
      </c>
      <c r="B42" s="36">
        <v>1</v>
      </c>
      <c r="C42" s="32">
        <v>1</v>
      </c>
    </row>
    <row r="43" spans="1:6" x14ac:dyDescent="0.35">
      <c r="A43" s="35" t="s">
        <v>16</v>
      </c>
      <c r="B43" s="36">
        <f>F22/E22</f>
        <v>1.0846387117005558</v>
      </c>
      <c r="C43" s="32">
        <f>B43</f>
        <v>1.0846387117005558</v>
      </c>
    </row>
    <row r="44" spans="1:6" x14ac:dyDescent="0.35">
      <c r="A44" s="37"/>
      <c r="B44" s="38"/>
    </row>
    <row r="45" spans="1:6" ht="14.5" customHeight="1" x14ac:dyDescent="0.35">
      <c r="A45" s="97" t="s">
        <v>18</v>
      </c>
      <c r="B45" s="97"/>
      <c r="C45" s="97"/>
      <c r="D45" s="97"/>
      <c r="E45" s="97"/>
      <c r="F45" s="97"/>
    </row>
    <row r="46" spans="1:6" x14ac:dyDescent="0.35">
      <c r="A46" s="97"/>
      <c r="B46" s="97"/>
      <c r="C46" s="97"/>
      <c r="D46" s="97"/>
      <c r="E46" s="97"/>
      <c r="F46" s="97"/>
    </row>
    <row r="47" spans="1:6" s="39" customFormat="1" ht="28" x14ac:dyDescent="0.35">
      <c r="A47" s="49" t="s">
        <v>19</v>
      </c>
      <c r="B47" s="49" t="s">
        <v>20</v>
      </c>
      <c r="C47" s="49" t="s">
        <v>21</v>
      </c>
      <c r="D47" s="49" t="s">
        <v>22</v>
      </c>
    </row>
    <row r="48" spans="1:6" x14ac:dyDescent="0.35">
      <c r="A48" s="32">
        <v>1</v>
      </c>
      <c r="B48" s="32">
        <f>C43</f>
        <v>1.0846387117005558</v>
      </c>
      <c r="C48" s="32">
        <f>1-(1/B48)</f>
        <v>7.8034013342428654E-2</v>
      </c>
      <c r="D48" s="44">
        <f>C48</f>
        <v>7.8034013342428654E-2</v>
      </c>
    </row>
    <row r="49" spans="1:9" x14ac:dyDescent="0.35">
      <c r="A49" s="32">
        <v>2</v>
      </c>
      <c r="B49" s="32">
        <f>C42</f>
        <v>1</v>
      </c>
      <c r="C49" s="32">
        <f t="shared" ref="C49:C52" si="0">1-(1/B49)</f>
        <v>0</v>
      </c>
      <c r="D49" s="44">
        <f t="shared" ref="D49:D52" si="1">C49</f>
        <v>0</v>
      </c>
    </row>
    <row r="50" spans="1:9" x14ac:dyDescent="0.35">
      <c r="A50" s="32">
        <v>3</v>
      </c>
      <c r="B50" s="32">
        <f>C41</f>
        <v>1.1699952189349017</v>
      </c>
      <c r="C50" s="32">
        <f t="shared" si="0"/>
        <v>0.14529565265203037</v>
      </c>
      <c r="D50" s="44">
        <f t="shared" si="1"/>
        <v>0.14529565265203037</v>
      </c>
    </row>
    <row r="51" spans="1:9" x14ac:dyDescent="0.35">
      <c r="A51" s="32">
        <v>4</v>
      </c>
      <c r="B51" s="32">
        <f>C40</f>
        <v>1.3711376441102505</v>
      </c>
      <c r="C51" s="32">
        <f t="shared" si="0"/>
        <v>0.27067861910471191</v>
      </c>
      <c r="D51" s="44">
        <f t="shared" si="1"/>
        <v>0.27067861910471191</v>
      </c>
    </row>
    <row r="52" spans="1:9" x14ac:dyDescent="0.35">
      <c r="A52" s="32">
        <v>5</v>
      </c>
      <c r="B52" s="32">
        <f>C39</f>
        <v>4.7847841133353084</v>
      </c>
      <c r="C52" s="32">
        <f t="shared" si="0"/>
        <v>0.79100415477200403</v>
      </c>
      <c r="D52" s="44">
        <f t="shared" si="1"/>
        <v>0.79100415477200403</v>
      </c>
    </row>
    <row r="54" spans="1:9" x14ac:dyDescent="0.35">
      <c r="A54" s="1" t="s">
        <v>23</v>
      </c>
    </row>
    <row r="55" spans="1:9" ht="42" x14ac:dyDescent="0.35">
      <c r="A55" s="49" t="s">
        <v>19</v>
      </c>
      <c r="B55" s="49" t="s">
        <v>24</v>
      </c>
      <c r="C55" s="49" t="s">
        <v>26</v>
      </c>
      <c r="D55" s="49" t="s">
        <v>25</v>
      </c>
      <c r="E55" s="49" t="s">
        <v>28</v>
      </c>
      <c r="F55" s="49" t="s">
        <v>29</v>
      </c>
      <c r="G55" s="49" t="s">
        <v>32</v>
      </c>
      <c r="H55" s="49" t="s">
        <v>33</v>
      </c>
      <c r="I55" s="59" t="s">
        <v>43</v>
      </c>
    </row>
    <row r="56" spans="1:9" x14ac:dyDescent="0.35">
      <c r="A56" s="32">
        <v>1</v>
      </c>
      <c r="B56" s="45">
        <f>F22</f>
        <v>171585254</v>
      </c>
      <c r="C56" s="46">
        <f>SUM(B69:C71)</f>
        <v>542839141.38</v>
      </c>
      <c r="D56" s="44">
        <f>B56/C56</f>
        <v>0.31608858116567967</v>
      </c>
      <c r="E56" s="44">
        <f>(SUM(D56:D60)/5)</f>
        <v>0.38579479174412173</v>
      </c>
      <c r="F56" s="46">
        <f>E56*C56</f>
        <v>209424513.49925494</v>
      </c>
      <c r="G56" s="46">
        <f>F56*D48</f>
        <v>16342235.28063249</v>
      </c>
      <c r="H56" s="98">
        <f>SUM(G56:G60)</f>
        <v>185744536.77934784</v>
      </c>
      <c r="I56" s="43">
        <f>ABS(B56-F56)/B56</f>
        <v>0.22052745569415272</v>
      </c>
    </row>
    <row r="57" spans="1:9" x14ac:dyDescent="0.35">
      <c r="A57" s="32">
        <v>2</v>
      </c>
      <c r="B57" s="45">
        <f>E25</f>
        <v>101509662</v>
      </c>
      <c r="C57" s="46">
        <f>SUM(B72:C74)</f>
        <v>196338877.61000001</v>
      </c>
      <c r="D57" s="44">
        <f t="shared" ref="D57:D60" si="2">B57/C57</f>
        <v>0.5170125409478753</v>
      </c>
      <c r="E57" s="44">
        <v>0.41531512873995746</v>
      </c>
      <c r="F57" s="46">
        <f t="shared" ref="F57:F60" si="3">E57*C57</f>
        <v>81542506.231255904</v>
      </c>
      <c r="G57" s="46">
        <f t="shared" ref="G57:G60" si="4">F57*D49</f>
        <v>0</v>
      </c>
      <c r="H57" s="98"/>
      <c r="I57" s="43">
        <f t="shared" ref="I57:I60" si="5">ABS(B57-F57)/B57</f>
        <v>0.19670202200795522</v>
      </c>
    </row>
    <row r="58" spans="1:9" x14ac:dyDescent="0.35">
      <c r="A58" s="32">
        <v>3</v>
      </c>
      <c r="B58" s="45">
        <f>D28</f>
        <v>188331468</v>
      </c>
      <c r="C58" s="46">
        <f>SUM(B75:C77)</f>
        <v>452267310</v>
      </c>
      <c r="D58" s="44">
        <f t="shared" si="2"/>
        <v>0.41641627381824259</v>
      </c>
      <c r="E58" s="44">
        <v>0.41531512873995746</v>
      </c>
      <c r="F58" s="46">
        <f t="shared" si="3"/>
        <v>187833456.07752424</v>
      </c>
      <c r="G58" s="46">
        <f t="shared" si="4"/>
        <v>27291384.590670366</v>
      </c>
      <c r="H58" s="98"/>
      <c r="I58" s="43">
        <f t="shared" si="5"/>
        <v>2.644337283431334E-3</v>
      </c>
    </row>
    <row r="59" spans="1:9" x14ac:dyDescent="0.35">
      <c r="A59" s="32">
        <v>4</v>
      </c>
      <c r="B59" s="45">
        <f>C31</f>
        <v>229284742</v>
      </c>
      <c r="C59" s="46">
        <f>SUM(B78:C80)</f>
        <v>607865488.55999994</v>
      </c>
      <c r="D59" s="44">
        <f t="shared" si="2"/>
        <v>0.37719651191773201</v>
      </c>
      <c r="E59" s="44">
        <v>0.41531512873995746</v>
      </c>
      <c r="F59" s="46">
        <f t="shared" si="3"/>
        <v>252455733.63787353</v>
      </c>
      <c r="G59" s="46">
        <f t="shared" si="4"/>
        <v>68334369.366166577</v>
      </c>
      <c r="H59" s="98"/>
      <c r="I59" s="43">
        <f t="shared" si="5"/>
        <v>0.10105771293701493</v>
      </c>
    </row>
    <row r="60" spans="1:9" x14ac:dyDescent="0.35">
      <c r="A60" s="32">
        <v>5</v>
      </c>
      <c r="B60" s="45">
        <f>B34</f>
        <v>67880114</v>
      </c>
      <c r="C60" s="46">
        <f>SUM(F69:G71)</f>
        <v>224575208.68000001</v>
      </c>
      <c r="D60" s="44">
        <f t="shared" si="2"/>
        <v>0.30226005087107904</v>
      </c>
      <c r="E60" s="44">
        <v>0.41531512873995746</v>
      </c>
      <c r="F60" s="46">
        <f t="shared" si="3"/>
        <v>93269481.704737023</v>
      </c>
      <c r="G60" s="46">
        <f t="shared" si="4"/>
        <v>73776547.541878402</v>
      </c>
      <c r="H60" s="98"/>
      <c r="I60" s="43">
        <f t="shared" si="5"/>
        <v>0.37403248475300177</v>
      </c>
    </row>
    <row r="61" spans="1:9" x14ac:dyDescent="0.35">
      <c r="I61" s="43">
        <f>AVERAGE((I56:I60))</f>
        <v>0.17899280253511118</v>
      </c>
    </row>
    <row r="62" spans="1:9" x14ac:dyDescent="0.35">
      <c r="A62" t="s">
        <v>27</v>
      </c>
    </row>
    <row r="63" spans="1:9" x14ac:dyDescent="0.35">
      <c r="A63" t="s">
        <v>30</v>
      </c>
    </row>
    <row r="64" spans="1:9" x14ac:dyDescent="0.35">
      <c r="A64" t="s">
        <v>31</v>
      </c>
    </row>
    <row r="68" spans="1:7" x14ac:dyDescent="0.35">
      <c r="A68" s="17" t="s">
        <v>48</v>
      </c>
      <c r="B68" s="99" t="s">
        <v>8</v>
      </c>
      <c r="C68" s="100"/>
      <c r="D68" s="8"/>
      <c r="E68" s="17" t="s">
        <v>7</v>
      </c>
      <c r="F68" s="101" t="s">
        <v>8</v>
      </c>
      <c r="G68" s="101"/>
    </row>
    <row r="69" spans="1:7" x14ac:dyDescent="0.35">
      <c r="A69" s="4">
        <v>45292</v>
      </c>
      <c r="B69" s="91">
        <v>291922566.38</v>
      </c>
      <c r="C69" s="92"/>
      <c r="D69" s="9"/>
      <c r="E69" s="4">
        <v>45658</v>
      </c>
      <c r="F69" s="96">
        <v>101167203.29000001</v>
      </c>
      <c r="G69" s="96"/>
    </row>
    <row r="70" spans="1:7" x14ac:dyDescent="0.35">
      <c r="A70" s="4">
        <v>45323</v>
      </c>
      <c r="B70" s="91">
        <v>184554129</v>
      </c>
      <c r="C70" s="92"/>
      <c r="D70" s="9"/>
      <c r="E70" s="4">
        <v>45689</v>
      </c>
      <c r="F70" s="96">
        <v>56719742</v>
      </c>
      <c r="G70" s="96"/>
    </row>
    <row r="71" spans="1:7" x14ac:dyDescent="0.35">
      <c r="A71" s="4">
        <v>45352</v>
      </c>
      <c r="B71" s="91">
        <v>66362446</v>
      </c>
      <c r="C71" s="92"/>
      <c r="D71" s="9"/>
      <c r="E71" s="4">
        <v>45717</v>
      </c>
      <c r="F71" s="96">
        <v>66688263.390000001</v>
      </c>
      <c r="G71" s="96"/>
    </row>
    <row r="72" spans="1:7" x14ac:dyDescent="0.35">
      <c r="A72" s="13">
        <v>45383</v>
      </c>
      <c r="B72" s="91">
        <v>69966160</v>
      </c>
      <c r="C72" s="92"/>
      <c r="D72" s="9"/>
      <c r="E72" s="23">
        <v>45748</v>
      </c>
      <c r="F72" s="95">
        <v>57962898.5</v>
      </c>
      <c r="G72" s="95"/>
    </row>
    <row r="73" spans="1:7" x14ac:dyDescent="0.35">
      <c r="A73" s="13">
        <v>45413</v>
      </c>
      <c r="B73" s="91">
        <v>69012958</v>
      </c>
      <c r="C73" s="92"/>
      <c r="D73" s="9"/>
      <c r="E73" s="23">
        <v>45778</v>
      </c>
      <c r="F73" s="95">
        <v>55407937</v>
      </c>
      <c r="G73" s="95"/>
    </row>
    <row r="74" spans="1:7" x14ac:dyDescent="0.35">
      <c r="A74" s="13">
        <v>45444</v>
      </c>
      <c r="B74" s="91">
        <v>57359759.609999999</v>
      </c>
      <c r="C74" s="92"/>
      <c r="D74" s="9"/>
      <c r="E74" s="9"/>
      <c r="F74" s="9"/>
      <c r="G74" s="9"/>
    </row>
    <row r="75" spans="1:7" x14ac:dyDescent="0.35">
      <c r="A75" s="4">
        <v>45474</v>
      </c>
      <c r="B75" s="91">
        <v>156485297</v>
      </c>
      <c r="C75" s="92"/>
      <c r="D75" s="9"/>
      <c r="E75" s="9"/>
      <c r="F75" s="9"/>
      <c r="G75" s="9"/>
    </row>
    <row r="76" spans="1:7" x14ac:dyDescent="0.35">
      <c r="A76" s="4">
        <v>45505</v>
      </c>
      <c r="B76" s="91">
        <v>134354150</v>
      </c>
      <c r="C76" s="92"/>
      <c r="D76" s="9"/>
      <c r="E76" s="9"/>
      <c r="F76" s="9"/>
      <c r="G76" s="9"/>
    </row>
    <row r="77" spans="1:7" x14ac:dyDescent="0.35">
      <c r="A77" s="4">
        <v>45536</v>
      </c>
      <c r="B77" s="91">
        <v>161427863</v>
      </c>
      <c r="C77" s="92"/>
      <c r="D77" s="9"/>
      <c r="E77" s="9"/>
      <c r="F77" s="9"/>
      <c r="G77" s="9"/>
    </row>
    <row r="78" spans="1:7" x14ac:dyDescent="0.35">
      <c r="A78" s="13">
        <v>45566</v>
      </c>
      <c r="B78" s="91">
        <v>211270793.56</v>
      </c>
      <c r="C78" s="92"/>
      <c r="D78" s="9"/>
      <c r="E78" s="9"/>
      <c r="F78" s="9"/>
      <c r="G78" s="9"/>
    </row>
    <row r="79" spans="1:7" x14ac:dyDescent="0.35">
      <c r="A79" s="13">
        <v>45597</v>
      </c>
      <c r="B79" s="91">
        <v>299304402</v>
      </c>
      <c r="C79" s="92"/>
      <c r="D79" s="9"/>
      <c r="E79" s="9"/>
      <c r="F79" s="9"/>
      <c r="G79" s="9"/>
    </row>
    <row r="80" spans="1:7" x14ac:dyDescent="0.35">
      <c r="A80" s="13">
        <v>45627</v>
      </c>
      <c r="B80" s="93">
        <v>97290293</v>
      </c>
      <c r="C80" s="94"/>
      <c r="D80" s="9"/>
      <c r="E80" s="9"/>
      <c r="F80" s="9"/>
      <c r="G80" s="9"/>
    </row>
  </sheetData>
  <mergeCells count="119">
    <mergeCell ref="A1:A2"/>
    <mergeCell ref="B1:F1"/>
    <mergeCell ref="H1:H2"/>
    <mergeCell ref="I1:M1"/>
    <mergeCell ref="O1:O2"/>
    <mergeCell ref="P1:AF1"/>
    <mergeCell ref="H3:H5"/>
    <mergeCell ref="I3:I5"/>
    <mergeCell ref="J3:J5"/>
    <mergeCell ref="K3:K5"/>
    <mergeCell ref="L3:L5"/>
    <mergeCell ref="M3:M5"/>
    <mergeCell ref="A3:A5"/>
    <mergeCell ref="B3:B5"/>
    <mergeCell ref="C3:C5"/>
    <mergeCell ref="D3:D5"/>
    <mergeCell ref="E3:E5"/>
    <mergeCell ref="F3:F5"/>
    <mergeCell ref="H6:H8"/>
    <mergeCell ref="I6:I8"/>
    <mergeCell ref="J6:J8"/>
    <mergeCell ref="K6:K8"/>
    <mergeCell ref="L6:L8"/>
    <mergeCell ref="M6:M8"/>
    <mergeCell ref="A6:A8"/>
    <mergeCell ref="B6:B8"/>
    <mergeCell ref="C6:C8"/>
    <mergeCell ref="D6:D8"/>
    <mergeCell ref="E6:E8"/>
    <mergeCell ref="F6:F8"/>
    <mergeCell ref="H9:H11"/>
    <mergeCell ref="I9:I11"/>
    <mergeCell ref="J9:J11"/>
    <mergeCell ref="K9:K11"/>
    <mergeCell ref="L9:L11"/>
    <mergeCell ref="M9:M11"/>
    <mergeCell ref="A9:A11"/>
    <mergeCell ref="B9:B11"/>
    <mergeCell ref="C9:C11"/>
    <mergeCell ref="D9:D11"/>
    <mergeCell ref="E9:E11"/>
    <mergeCell ref="F9:F11"/>
    <mergeCell ref="H12:H14"/>
    <mergeCell ref="I12:I14"/>
    <mergeCell ref="J12:J14"/>
    <mergeCell ref="K12:K14"/>
    <mergeCell ref="L12:L14"/>
    <mergeCell ref="M12:M14"/>
    <mergeCell ref="A12:A14"/>
    <mergeCell ref="B12:B14"/>
    <mergeCell ref="C12:C14"/>
    <mergeCell ref="D12:D14"/>
    <mergeCell ref="E12:E14"/>
    <mergeCell ref="F12:F14"/>
    <mergeCell ref="I15:I17"/>
    <mergeCell ref="J15:J17"/>
    <mergeCell ref="K15:K17"/>
    <mergeCell ref="L15:L17"/>
    <mergeCell ref="M15:M17"/>
    <mergeCell ref="A15:A17"/>
    <mergeCell ref="B15:B17"/>
    <mergeCell ref="C15:C17"/>
    <mergeCell ref="D15:D17"/>
    <mergeCell ref="E15:E17"/>
    <mergeCell ref="F15:F17"/>
    <mergeCell ref="A20:A21"/>
    <mergeCell ref="B20:F20"/>
    <mergeCell ref="A22:A24"/>
    <mergeCell ref="B22:B24"/>
    <mergeCell ref="C22:C24"/>
    <mergeCell ref="D22:D24"/>
    <mergeCell ref="E22:E24"/>
    <mergeCell ref="F22:F24"/>
    <mergeCell ref="H15:H17"/>
    <mergeCell ref="A28:A30"/>
    <mergeCell ref="B28:B30"/>
    <mergeCell ref="C28:C30"/>
    <mergeCell ref="D28:D30"/>
    <mergeCell ref="E28:E30"/>
    <mergeCell ref="F28:F30"/>
    <mergeCell ref="A25:A27"/>
    <mergeCell ref="B25:B27"/>
    <mergeCell ref="C25:C27"/>
    <mergeCell ref="D25:D27"/>
    <mergeCell ref="E25:E27"/>
    <mergeCell ref="F25:F27"/>
    <mergeCell ref="A34:A36"/>
    <mergeCell ref="B34:B36"/>
    <mergeCell ref="C34:C36"/>
    <mergeCell ref="D34:D36"/>
    <mergeCell ref="E34:E36"/>
    <mergeCell ref="F34:F36"/>
    <mergeCell ref="A31:A33"/>
    <mergeCell ref="B31:B33"/>
    <mergeCell ref="C31:C33"/>
    <mergeCell ref="D31:D33"/>
    <mergeCell ref="E31:E33"/>
    <mergeCell ref="F31:F33"/>
    <mergeCell ref="H56:H60"/>
    <mergeCell ref="B78:C78"/>
    <mergeCell ref="B79:C79"/>
    <mergeCell ref="B80:C80"/>
    <mergeCell ref="A45:F46"/>
    <mergeCell ref="B74:C74"/>
    <mergeCell ref="B75:C75"/>
    <mergeCell ref="B76:C76"/>
    <mergeCell ref="B77:C77"/>
    <mergeCell ref="B71:C71"/>
    <mergeCell ref="F71:G71"/>
    <mergeCell ref="B72:C72"/>
    <mergeCell ref="F72:G72"/>
    <mergeCell ref="B73:C73"/>
    <mergeCell ref="F73:G73"/>
    <mergeCell ref="B68:C68"/>
    <mergeCell ref="F68:G68"/>
    <mergeCell ref="B69:C69"/>
    <mergeCell ref="F69:G69"/>
    <mergeCell ref="B70:C70"/>
    <mergeCell ref="F70:G7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702A-B6BE-4B1E-89B4-13CCC06B04FD}">
  <dimension ref="A1:AF80"/>
  <sheetViews>
    <sheetView zoomScale="55" zoomScaleNormal="90" workbookViewId="0">
      <selection activeCell="L3" sqref="L3:L5"/>
    </sheetView>
  </sheetViews>
  <sheetFormatPr defaultRowHeight="14.5" x14ac:dyDescent="0.35"/>
  <cols>
    <col min="1" max="1" width="11.90625" customWidth="1"/>
    <col min="2" max="2" width="13" customWidth="1"/>
    <col min="3" max="3" width="14.26953125" customWidth="1"/>
    <col min="4" max="4" width="13.36328125" customWidth="1"/>
    <col min="5" max="5" width="13.08984375" customWidth="1"/>
    <col min="6" max="6" width="13.6328125" customWidth="1"/>
    <col min="7" max="7" width="13.26953125" customWidth="1"/>
    <col min="8" max="8" width="15.6328125" customWidth="1"/>
    <col min="9" max="9" width="12.453125" customWidth="1"/>
    <col min="10" max="10" width="12.90625" customWidth="1"/>
    <col min="11" max="11" width="12.7265625" customWidth="1"/>
    <col min="12" max="12" width="13.54296875" customWidth="1"/>
    <col min="13" max="13" width="14" customWidth="1"/>
    <col min="16" max="16" width="12.26953125" customWidth="1"/>
    <col min="17" max="18" width="13.26953125" customWidth="1"/>
    <col min="19" max="19" width="12" customWidth="1"/>
    <col min="20" max="20" width="13.08984375" customWidth="1"/>
    <col min="21" max="21" width="12.1796875" customWidth="1"/>
    <col min="22" max="22" width="13.08984375" customWidth="1"/>
    <col min="23" max="23" width="12" customWidth="1"/>
    <col min="24" max="24" width="13.26953125" customWidth="1"/>
    <col min="25" max="25" width="12" customWidth="1"/>
    <col min="26" max="26" width="12.453125" customWidth="1"/>
    <col min="27" max="27" width="13.7265625" customWidth="1"/>
    <col min="28" max="28" width="13.08984375" customWidth="1"/>
    <col min="29" max="29" width="15.36328125" customWidth="1"/>
    <col min="30" max="30" width="12" customWidth="1"/>
    <col min="31" max="31" width="8.7265625" customWidth="1"/>
    <col min="32" max="32" width="13.08984375" customWidth="1"/>
  </cols>
  <sheetData>
    <row r="1" spans="1:32" x14ac:dyDescent="0.35">
      <c r="A1" s="108" t="s">
        <v>2</v>
      </c>
      <c r="B1" s="109" t="s">
        <v>1</v>
      </c>
      <c r="C1" s="109"/>
      <c r="D1" s="109"/>
      <c r="E1" s="109"/>
      <c r="F1" s="109"/>
      <c r="H1" s="108" t="s">
        <v>2</v>
      </c>
      <c r="I1" s="109" t="s">
        <v>1</v>
      </c>
      <c r="J1" s="109"/>
      <c r="K1" s="109"/>
      <c r="L1" s="109"/>
      <c r="M1" s="109"/>
      <c r="O1" s="116" t="s">
        <v>2</v>
      </c>
      <c r="P1" s="117" t="s">
        <v>1</v>
      </c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</row>
    <row r="2" spans="1:32" x14ac:dyDescent="0.35">
      <c r="A2" s="108"/>
      <c r="B2" s="3" t="s">
        <v>3</v>
      </c>
      <c r="C2" s="3" t="s">
        <v>4</v>
      </c>
      <c r="D2" s="3" t="s">
        <v>5</v>
      </c>
      <c r="E2" s="3" t="s">
        <v>6</v>
      </c>
      <c r="F2" s="3" t="s">
        <v>9</v>
      </c>
      <c r="H2" s="108"/>
      <c r="I2" s="3">
        <v>0</v>
      </c>
      <c r="J2" s="3">
        <v>1</v>
      </c>
      <c r="K2" s="3">
        <v>2</v>
      </c>
      <c r="L2" s="3">
        <v>3</v>
      </c>
      <c r="M2" s="3">
        <v>4</v>
      </c>
      <c r="O2" s="116"/>
      <c r="P2" s="5">
        <v>45292</v>
      </c>
      <c r="Q2" s="5">
        <v>45323</v>
      </c>
      <c r="R2" s="5">
        <v>45352</v>
      </c>
      <c r="S2" s="5">
        <v>45383</v>
      </c>
      <c r="T2" s="5">
        <v>45413</v>
      </c>
      <c r="U2" s="5">
        <v>45444</v>
      </c>
      <c r="V2" s="5">
        <v>45474</v>
      </c>
      <c r="W2" s="5">
        <v>45505</v>
      </c>
      <c r="X2" s="5">
        <v>45536</v>
      </c>
      <c r="Y2" s="5">
        <v>45566</v>
      </c>
      <c r="Z2" s="5">
        <v>45597</v>
      </c>
      <c r="AA2" s="5">
        <v>45627</v>
      </c>
      <c r="AB2" s="5">
        <v>45658</v>
      </c>
      <c r="AC2" s="5">
        <v>45689</v>
      </c>
      <c r="AD2" s="5">
        <v>45717</v>
      </c>
      <c r="AE2" s="22">
        <v>45748</v>
      </c>
      <c r="AF2" s="22">
        <v>45778</v>
      </c>
    </row>
    <row r="3" spans="1:32" x14ac:dyDescent="0.35">
      <c r="A3" s="102" t="s">
        <v>3</v>
      </c>
      <c r="B3" s="110">
        <v>12671786</v>
      </c>
      <c r="C3" s="113">
        <v>25687872</v>
      </c>
      <c r="D3" s="113"/>
      <c r="E3" s="113"/>
      <c r="F3" s="113"/>
      <c r="H3" s="102" t="s">
        <v>3</v>
      </c>
      <c r="I3" s="110">
        <f>SUM(P3:R5)</f>
        <v>55621789</v>
      </c>
      <c r="J3" s="113">
        <f>SUM(S3:U5)</f>
        <v>25687872</v>
      </c>
      <c r="K3" s="113">
        <f>SUM(V3:Y5)</f>
        <v>122500000</v>
      </c>
      <c r="L3" s="113">
        <f>SUM(Y3:AA5)</f>
        <v>0</v>
      </c>
      <c r="M3" s="113">
        <f>SUM(AB3:AD5)</f>
        <v>0</v>
      </c>
      <c r="O3" s="4">
        <v>45292</v>
      </c>
      <c r="P3" s="24">
        <v>5000000</v>
      </c>
      <c r="Q3" s="24">
        <v>7137616</v>
      </c>
      <c r="R3" s="25"/>
      <c r="S3" s="28"/>
      <c r="T3" s="63"/>
      <c r="U3" s="28"/>
      <c r="V3" s="48">
        <v>122500000</v>
      </c>
      <c r="W3" s="48"/>
      <c r="X3" s="48"/>
      <c r="Y3" s="48"/>
      <c r="Z3" s="48"/>
      <c r="AA3" s="48"/>
      <c r="AB3" s="47"/>
      <c r="AC3" s="47"/>
      <c r="AD3" s="47"/>
      <c r="AE3" s="21"/>
      <c r="AF3" s="21"/>
    </row>
    <row r="4" spans="1:32" x14ac:dyDescent="0.35">
      <c r="A4" s="103"/>
      <c r="B4" s="111"/>
      <c r="C4" s="114"/>
      <c r="D4" s="114"/>
      <c r="E4" s="114"/>
      <c r="F4" s="114"/>
      <c r="H4" s="103"/>
      <c r="I4" s="111"/>
      <c r="J4" s="114"/>
      <c r="K4" s="114"/>
      <c r="L4" s="114"/>
      <c r="M4" s="114"/>
      <c r="O4" s="4">
        <v>45323</v>
      </c>
      <c r="P4" s="26"/>
      <c r="Q4" s="26">
        <v>42950003</v>
      </c>
      <c r="R4" s="27">
        <v>534170</v>
      </c>
      <c r="S4" s="29">
        <v>9928518</v>
      </c>
      <c r="T4" s="29">
        <v>1180575</v>
      </c>
      <c r="U4" s="30"/>
      <c r="V4" s="63"/>
      <c r="W4" s="47"/>
      <c r="X4" s="47"/>
      <c r="Y4" s="47"/>
      <c r="Z4" s="47"/>
      <c r="AA4" s="47"/>
      <c r="AB4" s="47"/>
      <c r="AC4" s="47"/>
      <c r="AD4" s="47"/>
      <c r="AE4" s="21"/>
      <c r="AF4" s="21"/>
    </row>
    <row r="5" spans="1:32" x14ac:dyDescent="0.35">
      <c r="A5" s="104"/>
      <c r="B5" s="112"/>
      <c r="C5" s="115"/>
      <c r="D5" s="115"/>
      <c r="E5" s="115"/>
      <c r="F5" s="115"/>
      <c r="H5" s="104"/>
      <c r="I5" s="112"/>
      <c r="J5" s="115"/>
      <c r="K5" s="115"/>
      <c r="L5" s="115"/>
      <c r="M5" s="115"/>
      <c r="O5" s="4">
        <v>45352</v>
      </c>
      <c r="P5" s="26"/>
      <c r="Q5" s="26"/>
      <c r="R5" s="26"/>
      <c r="S5" s="29">
        <v>13331739</v>
      </c>
      <c r="T5" s="30">
        <v>1247040</v>
      </c>
      <c r="U5" s="30"/>
      <c r="V5" s="47"/>
      <c r="W5" s="47"/>
      <c r="X5" s="47"/>
      <c r="Y5" s="47"/>
      <c r="Z5" s="47"/>
      <c r="AA5" s="47"/>
      <c r="AB5" s="47"/>
      <c r="AC5" s="47"/>
      <c r="AD5" s="47"/>
      <c r="AE5" s="21"/>
      <c r="AF5" s="21"/>
    </row>
    <row r="6" spans="1:32" x14ac:dyDescent="0.35">
      <c r="A6" s="102" t="s">
        <v>4</v>
      </c>
      <c r="B6" s="105"/>
      <c r="C6" s="105">
        <v>34360119</v>
      </c>
      <c r="D6" s="105">
        <v>51628137</v>
      </c>
      <c r="E6" s="105"/>
      <c r="F6" s="105">
        <v>1863750</v>
      </c>
      <c r="H6" s="102" t="s">
        <v>4</v>
      </c>
      <c r="I6" s="105">
        <f>SUM(S6:U8)</f>
        <v>34360119</v>
      </c>
      <c r="J6" s="105">
        <f>SUM(V6:X8)</f>
        <v>51628137</v>
      </c>
      <c r="K6" s="105">
        <f>SUM(Y6:AA8)</f>
        <v>0</v>
      </c>
      <c r="L6" s="105">
        <f>SUM(AB6:AD8)</f>
        <v>5113750</v>
      </c>
      <c r="M6" s="105"/>
      <c r="O6" s="13">
        <v>45383</v>
      </c>
      <c r="P6" s="14"/>
      <c r="Q6" s="14"/>
      <c r="R6" s="14"/>
      <c r="S6" s="26">
        <v>6700000</v>
      </c>
      <c r="T6" s="27">
        <v>15597640</v>
      </c>
      <c r="U6" s="26">
        <v>10189219</v>
      </c>
      <c r="V6" s="30"/>
      <c r="W6" s="30"/>
      <c r="X6" s="30"/>
      <c r="Y6" s="47"/>
      <c r="Z6" s="47"/>
      <c r="AA6" s="47"/>
      <c r="AB6" s="30"/>
      <c r="AC6" s="30"/>
      <c r="AD6" s="30"/>
      <c r="AE6" s="21"/>
      <c r="AF6" s="21"/>
    </row>
    <row r="7" spans="1:32" x14ac:dyDescent="0.35">
      <c r="A7" s="103"/>
      <c r="B7" s="106"/>
      <c r="C7" s="106"/>
      <c r="D7" s="106"/>
      <c r="E7" s="106"/>
      <c r="F7" s="106"/>
      <c r="H7" s="103"/>
      <c r="I7" s="106"/>
      <c r="J7" s="106"/>
      <c r="K7" s="106"/>
      <c r="L7" s="106"/>
      <c r="M7" s="106"/>
      <c r="O7" s="13">
        <v>45413</v>
      </c>
      <c r="P7" s="14"/>
      <c r="Q7" s="14"/>
      <c r="R7" s="14"/>
      <c r="S7" s="26"/>
      <c r="T7" s="26"/>
      <c r="U7" s="26">
        <v>1873260</v>
      </c>
      <c r="V7" s="30">
        <v>35669029</v>
      </c>
      <c r="W7" s="30"/>
      <c r="X7" s="30"/>
      <c r="Y7" s="47"/>
      <c r="Z7" s="47"/>
      <c r="AA7" s="47"/>
      <c r="AB7" s="30">
        <v>3250000</v>
      </c>
      <c r="AC7" s="30"/>
      <c r="AD7" s="30"/>
      <c r="AE7" s="21"/>
      <c r="AF7" s="21"/>
    </row>
    <row r="8" spans="1:32" x14ac:dyDescent="0.35">
      <c r="A8" s="104"/>
      <c r="B8" s="107"/>
      <c r="C8" s="107"/>
      <c r="D8" s="107"/>
      <c r="E8" s="107"/>
      <c r="F8" s="107"/>
      <c r="H8" s="104"/>
      <c r="I8" s="107"/>
      <c r="J8" s="107"/>
      <c r="K8" s="107"/>
      <c r="L8" s="107"/>
      <c r="M8" s="107"/>
      <c r="O8" s="13">
        <v>45444</v>
      </c>
      <c r="P8" s="14"/>
      <c r="Q8" s="14"/>
      <c r="R8" s="14"/>
      <c r="S8" s="26"/>
      <c r="T8" s="26"/>
      <c r="U8" s="26"/>
      <c r="V8" s="30">
        <v>4500000</v>
      </c>
      <c r="W8" s="30">
        <v>11459108</v>
      </c>
      <c r="X8" s="30"/>
      <c r="Y8" s="47"/>
      <c r="Z8" s="47"/>
      <c r="AA8" s="47"/>
      <c r="AB8" s="50"/>
      <c r="AC8" s="30"/>
      <c r="AD8" s="31">
        <v>1863750</v>
      </c>
      <c r="AE8" s="21"/>
      <c r="AF8" s="21"/>
    </row>
    <row r="9" spans="1:32" x14ac:dyDescent="0.35">
      <c r="A9" s="102" t="s">
        <v>5</v>
      </c>
      <c r="B9" s="105"/>
      <c r="C9" s="105"/>
      <c r="D9" s="105">
        <v>68364913</v>
      </c>
      <c r="E9" s="105">
        <v>76032545</v>
      </c>
      <c r="F9" s="105"/>
      <c r="H9" s="102" t="s">
        <v>5</v>
      </c>
      <c r="I9" s="105">
        <f>SUM(V9:X11)</f>
        <v>68364913</v>
      </c>
      <c r="J9" s="105">
        <f>SUM(Y9:AA11)</f>
        <v>76032545</v>
      </c>
      <c r="K9" s="105">
        <f>SUM(AB9:AD11)</f>
        <v>0</v>
      </c>
      <c r="L9" s="105"/>
      <c r="M9" s="105"/>
      <c r="O9" s="4">
        <v>45474</v>
      </c>
      <c r="P9" s="14"/>
      <c r="Q9" s="14"/>
      <c r="R9" s="14"/>
      <c r="S9" s="14"/>
      <c r="T9" s="14"/>
      <c r="U9" s="14"/>
      <c r="V9" s="26">
        <v>934638</v>
      </c>
      <c r="W9" s="26">
        <v>17460200</v>
      </c>
      <c r="X9" s="26">
        <v>37281107</v>
      </c>
      <c r="Y9" s="30"/>
      <c r="Z9" s="30"/>
      <c r="AA9" s="30"/>
      <c r="AB9" s="47"/>
      <c r="AC9" s="47"/>
      <c r="AD9" s="47"/>
      <c r="AE9" s="21"/>
      <c r="AF9" s="21"/>
    </row>
    <row r="10" spans="1:32" x14ac:dyDescent="0.35">
      <c r="A10" s="103"/>
      <c r="B10" s="106"/>
      <c r="C10" s="106"/>
      <c r="D10" s="106"/>
      <c r="E10" s="106"/>
      <c r="F10" s="106"/>
      <c r="H10" s="103"/>
      <c r="I10" s="106"/>
      <c r="J10" s="106"/>
      <c r="K10" s="106"/>
      <c r="L10" s="106"/>
      <c r="M10" s="106"/>
      <c r="O10" s="4">
        <v>45505</v>
      </c>
      <c r="P10" s="14"/>
      <c r="Q10" s="14"/>
      <c r="R10" s="14"/>
      <c r="S10" s="14"/>
      <c r="T10" s="14"/>
      <c r="U10" s="14"/>
      <c r="V10" s="26"/>
      <c r="W10" s="26">
        <v>728790</v>
      </c>
      <c r="X10" s="26">
        <v>11960178</v>
      </c>
      <c r="Y10" s="30">
        <v>29390042</v>
      </c>
      <c r="Z10" s="30"/>
      <c r="AA10" s="30"/>
      <c r="AB10" s="47"/>
      <c r="AC10" s="47"/>
      <c r="AD10" s="47"/>
      <c r="AE10" s="21"/>
      <c r="AF10" s="21"/>
    </row>
    <row r="11" spans="1:32" x14ac:dyDescent="0.35">
      <c r="A11" s="104"/>
      <c r="B11" s="107"/>
      <c r="C11" s="107"/>
      <c r="D11" s="107"/>
      <c r="E11" s="107"/>
      <c r="F11" s="107"/>
      <c r="H11" s="104"/>
      <c r="I11" s="107"/>
      <c r="J11" s="107"/>
      <c r="K11" s="107"/>
      <c r="L11" s="107"/>
      <c r="M11" s="107"/>
      <c r="O11" s="4">
        <v>45536</v>
      </c>
      <c r="P11" s="14"/>
      <c r="Q11" s="14"/>
      <c r="R11" s="14"/>
      <c r="S11" s="14"/>
      <c r="T11" s="14"/>
      <c r="U11" s="14"/>
      <c r="V11" s="26"/>
      <c r="W11" s="26"/>
      <c r="X11" s="26"/>
      <c r="Y11" s="30">
        <v>22214203</v>
      </c>
      <c r="Z11" s="30">
        <v>24428300</v>
      </c>
      <c r="AA11" s="30"/>
      <c r="AB11" s="47"/>
      <c r="AC11" s="47"/>
      <c r="AD11" s="47"/>
      <c r="AE11" s="21"/>
      <c r="AF11" s="21"/>
    </row>
    <row r="12" spans="1:32" x14ac:dyDescent="0.35">
      <c r="A12" s="102" t="s">
        <v>6</v>
      </c>
      <c r="B12" s="105"/>
      <c r="C12" s="105"/>
      <c r="D12" s="105"/>
      <c r="E12" s="105">
        <v>31632258</v>
      </c>
      <c r="F12" s="105">
        <v>229597206</v>
      </c>
      <c r="H12" s="102" t="s">
        <v>6</v>
      </c>
      <c r="I12" s="105">
        <f>SUM(Y12:AA14)</f>
        <v>31632258</v>
      </c>
      <c r="J12" s="105">
        <f>SUM(AB12:AD14)</f>
        <v>229597206</v>
      </c>
      <c r="K12" s="105"/>
      <c r="L12" s="105"/>
      <c r="M12" s="105"/>
      <c r="O12" s="13">
        <v>45566</v>
      </c>
      <c r="P12" s="14"/>
      <c r="Q12" s="14"/>
      <c r="R12" s="14"/>
      <c r="S12" s="14"/>
      <c r="T12" s="14"/>
      <c r="U12" s="14"/>
      <c r="V12" s="14"/>
      <c r="W12" s="14"/>
      <c r="X12" s="14"/>
      <c r="Y12" s="26">
        <v>3647000</v>
      </c>
      <c r="Z12" s="26">
        <v>19419733</v>
      </c>
      <c r="AA12" s="26">
        <v>8417325</v>
      </c>
      <c r="AB12" s="30"/>
      <c r="AC12" s="30"/>
      <c r="AD12" s="30">
        <v>82089722</v>
      </c>
      <c r="AE12" s="21"/>
      <c r="AF12" s="21"/>
    </row>
    <row r="13" spans="1:32" x14ac:dyDescent="0.35">
      <c r="A13" s="103"/>
      <c r="B13" s="106"/>
      <c r="C13" s="106"/>
      <c r="D13" s="106"/>
      <c r="E13" s="106"/>
      <c r="F13" s="106"/>
      <c r="H13" s="103"/>
      <c r="I13" s="106"/>
      <c r="J13" s="106"/>
      <c r="K13" s="106"/>
      <c r="L13" s="106"/>
      <c r="M13" s="106"/>
      <c r="O13" s="13">
        <v>45597</v>
      </c>
      <c r="P13" s="14"/>
      <c r="Q13" s="14"/>
      <c r="R13" s="14"/>
      <c r="S13" s="14"/>
      <c r="T13" s="14"/>
      <c r="U13" s="14"/>
      <c r="V13" s="14"/>
      <c r="W13" s="14"/>
      <c r="X13" s="14"/>
      <c r="Y13" s="26"/>
      <c r="Z13" s="26">
        <v>148200</v>
      </c>
      <c r="AA13" s="26"/>
      <c r="AB13" s="30">
        <v>15450530</v>
      </c>
      <c r="AC13" s="30">
        <v>101423278</v>
      </c>
      <c r="AD13" s="30">
        <v>3399750</v>
      </c>
      <c r="AE13" s="21"/>
      <c r="AF13" s="21">
        <v>35280392</v>
      </c>
    </row>
    <row r="14" spans="1:32" x14ac:dyDescent="0.35">
      <c r="A14" s="104"/>
      <c r="B14" s="107"/>
      <c r="C14" s="107"/>
      <c r="D14" s="107"/>
      <c r="E14" s="107"/>
      <c r="F14" s="107"/>
      <c r="H14" s="104"/>
      <c r="I14" s="107"/>
      <c r="J14" s="107"/>
      <c r="K14" s="107"/>
      <c r="L14" s="107"/>
      <c r="M14" s="107"/>
      <c r="O14" s="13">
        <v>45627</v>
      </c>
      <c r="P14" s="14"/>
      <c r="Q14" s="14"/>
      <c r="R14" s="14"/>
      <c r="S14" s="14"/>
      <c r="T14" s="14"/>
      <c r="U14" s="14"/>
      <c r="V14" s="14"/>
      <c r="W14" s="14"/>
      <c r="X14" s="14"/>
      <c r="Y14" s="26"/>
      <c r="Z14" s="26"/>
      <c r="AA14" s="26"/>
      <c r="AB14" s="30">
        <v>18033926</v>
      </c>
      <c r="AC14" s="30">
        <v>9200000</v>
      </c>
      <c r="AD14" s="30"/>
      <c r="AE14" s="21"/>
      <c r="AF14" s="21"/>
    </row>
    <row r="15" spans="1:32" x14ac:dyDescent="0.35">
      <c r="A15" s="102" t="s">
        <v>9</v>
      </c>
      <c r="B15" s="105"/>
      <c r="C15" s="105"/>
      <c r="D15" s="105"/>
      <c r="E15" s="105"/>
      <c r="F15" s="105">
        <v>59154274</v>
      </c>
      <c r="H15" s="102" t="s">
        <v>9</v>
      </c>
      <c r="I15" s="105">
        <f>SUM(AB15:AD17)</f>
        <v>61154274</v>
      </c>
      <c r="J15" s="105"/>
      <c r="K15" s="105"/>
      <c r="L15" s="105"/>
      <c r="M15" s="105"/>
      <c r="O15" s="18">
        <v>45658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26">
        <v>3232650</v>
      </c>
      <c r="AC15" s="26">
        <v>11256457</v>
      </c>
      <c r="AD15" s="26">
        <v>12244835</v>
      </c>
      <c r="AE15" s="21"/>
      <c r="AF15" s="21"/>
    </row>
    <row r="16" spans="1:32" x14ac:dyDescent="0.35">
      <c r="A16" s="103"/>
      <c r="B16" s="106"/>
      <c r="C16" s="106"/>
      <c r="D16" s="106"/>
      <c r="E16" s="106"/>
      <c r="F16" s="106"/>
      <c r="H16" s="103"/>
      <c r="I16" s="106"/>
      <c r="J16" s="106"/>
      <c r="K16" s="106"/>
      <c r="L16" s="106"/>
      <c r="M16" s="106"/>
      <c r="O16" s="18">
        <v>45689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26"/>
      <c r="AC16" s="26">
        <v>21564532</v>
      </c>
      <c r="AD16" s="26">
        <v>5514575</v>
      </c>
      <c r="AE16" s="21"/>
      <c r="AF16" s="21"/>
    </row>
    <row r="17" spans="1:32" x14ac:dyDescent="0.35">
      <c r="A17" s="104"/>
      <c r="B17" s="107"/>
      <c r="C17" s="107"/>
      <c r="D17" s="107"/>
      <c r="E17" s="107"/>
      <c r="F17" s="107"/>
      <c r="H17" s="104"/>
      <c r="I17" s="107"/>
      <c r="J17" s="107"/>
      <c r="K17" s="107"/>
      <c r="L17" s="107"/>
      <c r="M17" s="107"/>
      <c r="O17" s="18">
        <v>45717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26"/>
      <c r="AC17" s="26"/>
      <c r="AD17" s="26">
        <v>7341225</v>
      </c>
      <c r="AE17" s="21"/>
      <c r="AF17" s="21">
        <v>28267915</v>
      </c>
    </row>
    <row r="18" spans="1:32" x14ac:dyDescent="0.35">
      <c r="O18" s="20">
        <v>45748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>
        <v>42950003</v>
      </c>
    </row>
    <row r="19" spans="1:32" x14ac:dyDescent="0.35">
      <c r="A19" s="1" t="s">
        <v>10</v>
      </c>
      <c r="O19" s="20">
        <v>45778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spans="1:32" x14ac:dyDescent="0.35">
      <c r="A20" s="108" t="s">
        <v>2</v>
      </c>
      <c r="B20" s="109" t="s">
        <v>1</v>
      </c>
      <c r="C20" s="109"/>
      <c r="D20" s="109"/>
      <c r="E20" s="109"/>
      <c r="F20" s="109"/>
    </row>
    <row r="21" spans="1:32" x14ac:dyDescent="0.35">
      <c r="A21" s="108"/>
      <c r="B21" s="3">
        <v>0</v>
      </c>
      <c r="C21" s="3">
        <v>1</v>
      </c>
      <c r="D21" s="3">
        <v>2</v>
      </c>
      <c r="E21" s="3">
        <v>3</v>
      </c>
      <c r="F21" s="3">
        <v>4</v>
      </c>
    </row>
    <row r="22" spans="1:32" x14ac:dyDescent="0.35">
      <c r="A22" s="102" t="s">
        <v>3</v>
      </c>
      <c r="B22" s="110">
        <f>I3</f>
        <v>55621789</v>
      </c>
      <c r="C22" s="113">
        <f>I3+J3</f>
        <v>81309661</v>
      </c>
      <c r="D22" s="113">
        <f>I3+J3+K3</f>
        <v>203809661</v>
      </c>
      <c r="E22" s="113">
        <f>I3+J3+K3+L3</f>
        <v>203809661</v>
      </c>
      <c r="F22" s="113">
        <f>I3+J3+K3+L3+M3</f>
        <v>203809661</v>
      </c>
    </row>
    <row r="23" spans="1:32" x14ac:dyDescent="0.35">
      <c r="A23" s="103"/>
      <c r="B23" s="111"/>
      <c r="C23" s="114"/>
      <c r="D23" s="114"/>
      <c r="E23" s="114"/>
      <c r="F23" s="114"/>
    </row>
    <row r="24" spans="1:32" x14ac:dyDescent="0.35">
      <c r="A24" s="104"/>
      <c r="B24" s="112"/>
      <c r="C24" s="115"/>
      <c r="D24" s="115"/>
      <c r="E24" s="115"/>
      <c r="F24" s="115"/>
    </row>
    <row r="25" spans="1:32" x14ac:dyDescent="0.35">
      <c r="A25" s="102" t="s">
        <v>4</v>
      </c>
      <c r="B25" s="105">
        <f>I6</f>
        <v>34360119</v>
      </c>
      <c r="C25" s="105">
        <f>I6+J6</f>
        <v>85988256</v>
      </c>
      <c r="D25" s="105">
        <f>I6+J6+K6</f>
        <v>85988256</v>
      </c>
      <c r="E25" s="105">
        <f>I6+J6+K6+L6</f>
        <v>91102006</v>
      </c>
      <c r="F25" s="105"/>
    </row>
    <row r="26" spans="1:32" x14ac:dyDescent="0.35">
      <c r="A26" s="103"/>
      <c r="B26" s="106"/>
      <c r="C26" s="106"/>
      <c r="D26" s="106"/>
      <c r="E26" s="106"/>
      <c r="F26" s="106"/>
    </row>
    <row r="27" spans="1:32" x14ac:dyDescent="0.35">
      <c r="A27" s="104"/>
      <c r="B27" s="107"/>
      <c r="C27" s="107"/>
      <c r="D27" s="107"/>
      <c r="E27" s="107"/>
      <c r="F27" s="107"/>
    </row>
    <row r="28" spans="1:32" x14ac:dyDescent="0.35">
      <c r="A28" s="102" t="s">
        <v>5</v>
      </c>
      <c r="B28" s="105">
        <f>I9</f>
        <v>68364913</v>
      </c>
      <c r="C28" s="105">
        <f>I9+J9</f>
        <v>144397458</v>
      </c>
      <c r="D28" s="105">
        <f>I9+J9+K9</f>
        <v>144397458</v>
      </c>
      <c r="E28" s="105"/>
      <c r="F28" s="105"/>
    </row>
    <row r="29" spans="1:32" x14ac:dyDescent="0.35">
      <c r="A29" s="103"/>
      <c r="B29" s="106"/>
      <c r="C29" s="106"/>
      <c r="D29" s="106"/>
      <c r="E29" s="106"/>
      <c r="F29" s="106"/>
    </row>
    <row r="30" spans="1:32" x14ac:dyDescent="0.35">
      <c r="A30" s="104"/>
      <c r="B30" s="107"/>
      <c r="C30" s="107"/>
      <c r="D30" s="107"/>
      <c r="E30" s="107"/>
      <c r="F30" s="107"/>
    </row>
    <row r="31" spans="1:32" x14ac:dyDescent="0.35">
      <c r="A31" s="102" t="s">
        <v>6</v>
      </c>
      <c r="B31" s="105">
        <f>I12</f>
        <v>31632258</v>
      </c>
      <c r="C31" s="105">
        <f>I12+J12</f>
        <v>261229464</v>
      </c>
      <c r="D31" s="105"/>
      <c r="E31" s="105"/>
      <c r="F31" s="105"/>
    </row>
    <row r="32" spans="1:32" x14ac:dyDescent="0.35">
      <c r="A32" s="103"/>
      <c r="B32" s="106"/>
      <c r="C32" s="106"/>
      <c r="D32" s="106"/>
      <c r="E32" s="106"/>
      <c r="F32" s="106"/>
    </row>
    <row r="33" spans="1:6" x14ac:dyDescent="0.35">
      <c r="A33" s="104"/>
      <c r="B33" s="107"/>
      <c r="C33" s="107"/>
      <c r="D33" s="107"/>
      <c r="E33" s="107"/>
      <c r="F33" s="107"/>
    </row>
    <row r="34" spans="1:6" x14ac:dyDescent="0.35">
      <c r="A34" s="102" t="s">
        <v>9</v>
      </c>
      <c r="B34" s="105">
        <f>I15</f>
        <v>61154274</v>
      </c>
      <c r="C34" s="105"/>
      <c r="D34" s="105"/>
      <c r="E34" s="105"/>
      <c r="F34" s="105"/>
    </row>
    <row r="35" spans="1:6" x14ac:dyDescent="0.35">
      <c r="A35" s="103"/>
      <c r="B35" s="106"/>
      <c r="C35" s="106"/>
      <c r="D35" s="106"/>
      <c r="E35" s="106"/>
      <c r="F35" s="106"/>
    </row>
    <row r="36" spans="1:6" x14ac:dyDescent="0.35">
      <c r="A36" s="104"/>
      <c r="B36" s="107"/>
      <c r="C36" s="107"/>
      <c r="D36" s="107"/>
      <c r="E36" s="107"/>
      <c r="F36" s="107"/>
    </row>
    <row r="38" spans="1:6" s="39" customFormat="1" ht="29" x14ac:dyDescent="0.35">
      <c r="A38" s="52"/>
      <c r="B38" s="53" t="s">
        <v>11</v>
      </c>
      <c r="C38" s="53" t="s">
        <v>17</v>
      </c>
    </row>
    <row r="39" spans="1:6" x14ac:dyDescent="0.35">
      <c r="A39" s="33" t="s">
        <v>12</v>
      </c>
      <c r="B39" s="33">
        <f>(C22+C25+C28+C31)/(B31+B28+B25+B22)</f>
        <v>3.0157259526455542</v>
      </c>
      <c r="C39" s="32">
        <f>B39*B40*B41*B43*B42</f>
        <v>4.2750716988252364</v>
      </c>
    </row>
    <row r="40" spans="1:6" x14ac:dyDescent="0.35">
      <c r="A40" s="34" t="s">
        <v>13</v>
      </c>
      <c r="B40" s="33">
        <f>(D22+D25+D28)/(C28+C25+C22)</f>
        <v>1.3930119271099226</v>
      </c>
      <c r="C40" s="32">
        <f>B40*B41*B43*B42</f>
        <v>1.4175929000030381</v>
      </c>
    </row>
    <row r="41" spans="1:6" x14ac:dyDescent="0.35">
      <c r="A41" s="34" t="s">
        <v>14</v>
      </c>
      <c r="B41" s="33">
        <f>(E22+E25)/(D25+D22)</f>
        <v>1.0176459170339722</v>
      </c>
      <c r="C41" s="32">
        <f>B41*B43*B42</f>
        <v>1.0176459170339722</v>
      </c>
    </row>
    <row r="42" spans="1:6" x14ac:dyDescent="0.35">
      <c r="A42" s="35" t="s">
        <v>15</v>
      </c>
      <c r="B42" s="36">
        <f>F22/E22</f>
        <v>1</v>
      </c>
      <c r="C42" s="32">
        <f>B42*B43</f>
        <v>1</v>
      </c>
    </row>
    <row r="43" spans="1:6" x14ac:dyDescent="0.35">
      <c r="A43" s="35" t="s">
        <v>16</v>
      </c>
      <c r="B43" s="36">
        <v>1</v>
      </c>
      <c r="C43" s="32">
        <f>B43</f>
        <v>1</v>
      </c>
    </row>
    <row r="44" spans="1:6" x14ac:dyDescent="0.35">
      <c r="A44" s="37"/>
      <c r="B44" s="38"/>
    </row>
    <row r="45" spans="1:6" ht="14.5" customHeight="1" x14ac:dyDescent="0.35">
      <c r="A45" s="97" t="s">
        <v>18</v>
      </c>
      <c r="B45" s="97"/>
      <c r="C45" s="97"/>
      <c r="D45" s="97"/>
      <c r="E45" s="97"/>
      <c r="F45" s="97"/>
    </row>
    <row r="46" spans="1:6" x14ac:dyDescent="0.35">
      <c r="A46" s="97"/>
      <c r="B46" s="97"/>
      <c r="C46" s="97"/>
      <c r="D46" s="97"/>
      <c r="E46" s="97"/>
      <c r="F46" s="97"/>
    </row>
    <row r="47" spans="1:6" s="39" customFormat="1" ht="28" x14ac:dyDescent="0.35">
      <c r="A47" s="51" t="s">
        <v>19</v>
      </c>
      <c r="B47" s="51" t="s">
        <v>20</v>
      </c>
      <c r="C47" s="51" t="s">
        <v>21</v>
      </c>
      <c r="D47" s="51" t="s">
        <v>22</v>
      </c>
    </row>
    <row r="48" spans="1:6" x14ac:dyDescent="0.35">
      <c r="A48" s="32">
        <v>1</v>
      </c>
      <c r="B48" s="32">
        <f>C43</f>
        <v>1</v>
      </c>
      <c r="C48" s="32">
        <f>1-(1/B48)</f>
        <v>0</v>
      </c>
      <c r="D48" s="44">
        <f>C48</f>
        <v>0</v>
      </c>
    </row>
    <row r="49" spans="1:9" x14ac:dyDescent="0.35">
      <c r="A49" s="32">
        <v>2</v>
      </c>
      <c r="B49" s="32">
        <f>C42</f>
        <v>1</v>
      </c>
      <c r="C49" s="32">
        <f>1-(1/B49)</f>
        <v>0</v>
      </c>
      <c r="D49" s="44">
        <f t="shared" ref="D49:D52" si="0">C49</f>
        <v>0</v>
      </c>
    </row>
    <row r="50" spans="1:9" x14ac:dyDescent="0.35">
      <c r="A50" s="32">
        <v>3</v>
      </c>
      <c r="B50" s="32">
        <f>C41</f>
        <v>1.0176459170339722</v>
      </c>
      <c r="C50" s="32">
        <f t="shared" ref="C50:C52" si="1">1-(1/B50)</f>
        <v>1.7339937927921878E-2</v>
      </c>
      <c r="D50" s="44">
        <f t="shared" si="0"/>
        <v>1.7339937927921878E-2</v>
      </c>
    </row>
    <row r="51" spans="1:9" x14ac:dyDescent="0.35">
      <c r="A51" s="32">
        <v>4</v>
      </c>
      <c r="B51" s="32">
        <f>C40</f>
        <v>1.4175929000030381</v>
      </c>
      <c r="C51" s="32">
        <f t="shared" si="1"/>
        <v>0.29457885970093611</v>
      </c>
      <c r="D51" s="44">
        <f t="shared" si="0"/>
        <v>0.29457885970093611</v>
      </c>
    </row>
    <row r="52" spans="1:9" x14ac:dyDescent="0.35">
      <c r="A52" s="32">
        <v>5</v>
      </c>
      <c r="B52" s="32">
        <f>C39</f>
        <v>4.2750716988252364</v>
      </c>
      <c r="C52" s="32">
        <f t="shared" si="1"/>
        <v>0.76608579447339009</v>
      </c>
      <c r="D52" s="44">
        <f t="shared" si="0"/>
        <v>0.76608579447339009</v>
      </c>
    </row>
    <row r="54" spans="1:9" x14ac:dyDescent="0.35">
      <c r="A54" s="1" t="s">
        <v>23</v>
      </c>
    </row>
    <row r="55" spans="1:9" ht="28" x14ac:dyDescent="0.35">
      <c r="A55" s="51" t="s">
        <v>19</v>
      </c>
      <c r="B55" s="51" t="s">
        <v>24</v>
      </c>
      <c r="C55" s="51" t="s">
        <v>26</v>
      </c>
      <c r="D55" s="51" t="s">
        <v>25</v>
      </c>
      <c r="E55" s="51" t="s">
        <v>28</v>
      </c>
      <c r="F55" s="51" t="s">
        <v>29</v>
      </c>
      <c r="G55" s="51" t="s">
        <v>32</v>
      </c>
      <c r="H55" s="51" t="s">
        <v>33</v>
      </c>
      <c r="I55" s="86" t="s">
        <v>43</v>
      </c>
    </row>
    <row r="56" spans="1:9" x14ac:dyDescent="0.35">
      <c r="A56" s="32">
        <v>1</v>
      </c>
      <c r="B56" s="45">
        <f>F22</f>
        <v>203809661</v>
      </c>
      <c r="C56" s="46">
        <f>SUM(B69:C71)</f>
        <v>542839141.38</v>
      </c>
      <c r="D56" s="44">
        <f>B56/C56</f>
        <v>0.3754512994068136</v>
      </c>
      <c r="E56" s="44">
        <f>(SUM(D56:D60)/5)</f>
        <v>0.37215789516439562</v>
      </c>
      <c r="F56" s="46">
        <f>E56*C56</f>
        <v>202021872.26882857</v>
      </c>
      <c r="G56" s="46">
        <f>F56*D48</f>
        <v>0</v>
      </c>
      <c r="H56" s="134">
        <f>SUM(G56:G60)</f>
        <v>105730122.31726009</v>
      </c>
      <c r="I56" s="43">
        <f>ABS(B56-F56)/B56</f>
        <v>8.7718546922632354E-3</v>
      </c>
    </row>
    <row r="57" spans="1:9" x14ac:dyDescent="0.35">
      <c r="A57" s="32">
        <v>2</v>
      </c>
      <c r="B57" s="45">
        <f>E25</f>
        <v>91102006</v>
      </c>
      <c r="C57" s="46">
        <f>SUM(B72:C74)</f>
        <v>196338877.61000001</v>
      </c>
      <c r="D57" s="44">
        <f>B57/C57</f>
        <v>0.46400390543619952</v>
      </c>
      <c r="E57" s="44">
        <v>0.29455350035888256</v>
      </c>
      <c r="F57" s="46">
        <f t="shared" ref="F57:F60" si="2">E57*C57</f>
        <v>57832303.656559736</v>
      </c>
      <c r="G57" s="46">
        <f t="shared" ref="G57:G60" si="3">F57*D49</f>
        <v>0</v>
      </c>
      <c r="H57" s="134"/>
      <c r="I57" s="43">
        <f t="shared" ref="I57:I60" si="4">ABS(B57-F57)/B57</f>
        <v>0.36519176475038612</v>
      </c>
    </row>
    <row r="58" spans="1:9" x14ac:dyDescent="0.35">
      <c r="A58" s="32">
        <v>3</v>
      </c>
      <c r="B58" s="45">
        <f>D28</f>
        <v>144397458</v>
      </c>
      <c r="C58" s="46">
        <f>SUM(B75:C77)</f>
        <v>452267310</v>
      </c>
      <c r="D58" s="44">
        <f t="shared" ref="D58:D60" si="5">B58/C58</f>
        <v>0.31927458564272532</v>
      </c>
      <c r="E58" s="44">
        <v>0.29455350035888256</v>
      </c>
      <c r="F58" s="46">
        <f t="shared" si="2"/>
        <v>133216919.25839585</v>
      </c>
      <c r="G58" s="46">
        <f t="shared" si="3"/>
        <v>2309973.1108895647</v>
      </c>
      <c r="H58" s="134"/>
      <c r="I58" s="43">
        <f t="shared" si="4"/>
        <v>7.742891666142869E-2</v>
      </c>
    </row>
    <row r="59" spans="1:9" x14ac:dyDescent="0.35">
      <c r="A59" s="32">
        <v>4</v>
      </c>
      <c r="B59" s="45">
        <f>C31</f>
        <v>261229464</v>
      </c>
      <c r="C59" s="46">
        <f>SUM(B78:C80)</f>
        <v>607865488.55999994</v>
      </c>
      <c r="D59" s="44">
        <f t="shared" si="5"/>
        <v>0.42974879955570155</v>
      </c>
      <c r="E59" s="44">
        <v>0.29455350035888256</v>
      </c>
      <c r="F59" s="46">
        <f t="shared" si="2"/>
        <v>179048907.40271026</v>
      </c>
      <c r="G59" s="46">
        <f t="shared" si="3"/>
        <v>52744022.973388888</v>
      </c>
      <c r="H59" s="134"/>
      <c r="I59" s="43">
        <f t="shared" si="4"/>
        <v>0.31459145281287926</v>
      </c>
    </row>
    <row r="60" spans="1:9" x14ac:dyDescent="0.35">
      <c r="A60" s="32">
        <v>5</v>
      </c>
      <c r="B60" s="45">
        <f>B34</f>
        <v>61154274</v>
      </c>
      <c r="C60" s="46">
        <f>SUM(F69:G71)</f>
        <v>224575208.68000001</v>
      </c>
      <c r="D60" s="44">
        <f t="shared" si="5"/>
        <v>0.27231088578053814</v>
      </c>
      <c r="E60" s="44">
        <v>0.29455350035888256</v>
      </c>
      <c r="F60" s="46">
        <f t="shared" si="2"/>
        <v>66149413.810520507</v>
      </c>
      <c r="G60" s="46">
        <f t="shared" si="3"/>
        <v>50676126.232981645</v>
      </c>
      <c r="H60" s="134"/>
      <c r="I60" s="43">
        <f t="shared" si="4"/>
        <v>8.1680960034297964E-2</v>
      </c>
    </row>
    <row r="61" spans="1:9" x14ac:dyDescent="0.35">
      <c r="I61" s="60">
        <f>AVERAGE(I56:I60)</f>
        <v>0.16953298979025105</v>
      </c>
    </row>
    <row r="62" spans="1:9" x14ac:dyDescent="0.35">
      <c r="A62" t="s">
        <v>27</v>
      </c>
    </row>
    <row r="63" spans="1:9" x14ac:dyDescent="0.35">
      <c r="A63" t="s">
        <v>30</v>
      </c>
    </row>
    <row r="64" spans="1:9" x14ac:dyDescent="0.35">
      <c r="A64" t="s">
        <v>31</v>
      </c>
    </row>
    <row r="68" spans="1:7" x14ac:dyDescent="0.35">
      <c r="A68" s="17" t="s">
        <v>48</v>
      </c>
      <c r="B68" s="99" t="s">
        <v>8</v>
      </c>
      <c r="C68" s="100"/>
      <c r="D68" s="8"/>
      <c r="E68" s="17" t="s">
        <v>7</v>
      </c>
      <c r="F68" s="101" t="s">
        <v>8</v>
      </c>
      <c r="G68" s="101"/>
    </row>
    <row r="69" spans="1:7" x14ac:dyDescent="0.35">
      <c r="A69" s="4">
        <v>45292</v>
      </c>
      <c r="B69" s="91">
        <v>291922566.38</v>
      </c>
      <c r="C69" s="92"/>
      <c r="D69" s="9"/>
      <c r="E69" s="4">
        <v>45658</v>
      </c>
      <c r="F69" s="96">
        <v>101167203.29000001</v>
      </c>
      <c r="G69" s="96"/>
    </row>
    <row r="70" spans="1:7" x14ac:dyDescent="0.35">
      <c r="A70" s="4">
        <v>45323</v>
      </c>
      <c r="B70" s="91">
        <v>184554129</v>
      </c>
      <c r="C70" s="92"/>
      <c r="D70" s="9"/>
      <c r="E70" s="4">
        <v>45689</v>
      </c>
      <c r="F70" s="96">
        <v>56719742</v>
      </c>
      <c r="G70" s="96"/>
    </row>
    <row r="71" spans="1:7" x14ac:dyDescent="0.35">
      <c r="A71" s="4">
        <v>45352</v>
      </c>
      <c r="B71" s="91">
        <v>66362446</v>
      </c>
      <c r="C71" s="92"/>
      <c r="D71" s="9"/>
      <c r="E71" s="4">
        <v>45717</v>
      </c>
      <c r="F71" s="96">
        <v>66688263.390000001</v>
      </c>
      <c r="G71" s="96"/>
    </row>
    <row r="72" spans="1:7" x14ac:dyDescent="0.35">
      <c r="A72" s="13">
        <v>45383</v>
      </c>
      <c r="B72" s="91">
        <v>69966160</v>
      </c>
      <c r="C72" s="92"/>
      <c r="D72" s="9"/>
      <c r="E72" s="23">
        <v>45748</v>
      </c>
      <c r="F72" s="95">
        <v>57962898.5</v>
      </c>
      <c r="G72" s="95"/>
    </row>
    <row r="73" spans="1:7" x14ac:dyDescent="0.35">
      <c r="A73" s="13">
        <v>45413</v>
      </c>
      <c r="B73" s="91">
        <v>69012958</v>
      </c>
      <c r="C73" s="92"/>
      <c r="D73" s="9"/>
      <c r="E73" s="23">
        <v>45778</v>
      </c>
      <c r="F73" s="95">
        <v>55407937</v>
      </c>
      <c r="G73" s="95"/>
    </row>
    <row r="74" spans="1:7" x14ac:dyDescent="0.35">
      <c r="A74" s="13">
        <v>45444</v>
      </c>
      <c r="B74" s="91">
        <v>57359759.609999999</v>
      </c>
      <c r="C74" s="92"/>
      <c r="D74" s="9"/>
      <c r="E74" s="9"/>
      <c r="F74" s="9"/>
      <c r="G74" s="9"/>
    </row>
    <row r="75" spans="1:7" x14ac:dyDescent="0.35">
      <c r="A75" s="4">
        <v>45474</v>
      </c>
      <c r="B75" s="91">
        <v>156485297</v>
      </c>
      <c r="C75" s="92"/>
      <c r="D75" s="9"/>
      <c r="E75" s="9"/>
      <c r="F75" s="9"/>
      <c r="G75" s="9"/>
    </row>
    <row r="76" spans="1:7" x14ac:dyDescent="0.35">
      <c r="A76" s="4">
        <v>45505</v>
      </c>
      <c r="B76" s="91">
        <v>134354150</v>
      </c>
      <c r="C76" s="92"/>
      <c r="D76" s="9"/>
      <c r="E76" s="9"/>
      <c r="F76" s="9"/>
      <c r="G76" s="9"/>
    </row>
    <row r="77" spans="1:7" x14ac:dyDescent="0.35">
      <c r="A77" s="4">
        <v>45536</v>
      </c>
      <c r="B77" s="91">
        <v>161427863</v>
      </c>
      <c r="C77" s="92"/>
      <c r="D77" s="9"/>
      <c r="E77" s="9"/>
      <c r="F77" s="9"/>
      <c r="G77" s="9"/>
    </row>
    <row r="78" spans="1:7" x14ac:dyDescent="0.35">
      <c r="A78" s="13">
        <v>45566</v>
      </c>
      <c r="B78" s="91">
        <v>211270793.56</v>
      </c>
      <c r="C78" s="92"/>
      <c r="D78" s="9"/>
      <c r="E78" s="9"/>
      <c r="F78" s="9"/>
      <c r="G78" s="9"/>
    </row>
    <row r="79" spans="1:7" x14ac:dyDescent="0.35">
      <c r="A79" s="13">
        <v>45597</v>
      </c>
      <c r="B79" s="91">
        <v>299304402</v>
      </c>
      <c r="C79" s="92"/>
      <c r="D79" s="9"/>
      <c r="E79" s="9"/>
      <c r="F79" s="9"/>
      <c r="G79" s="9"/>
    </row>
    <row r="80" spans="1:7" x14ac:dyDescent="0.35">
      <c r="A80" s="13">
        <v>45627</v>
      </c>
      <c r="B80" s="93">
        <v>97290293</v>
      </c>
      <c r="C80" s="94"/>
      <c r="D80" s="9"/>
      <c r="E80" s="9"/>
      <c r="F80" s="9"/>
      <c r="G80" s="9"/>
    </row>
  </sheetData>
  <mergeCells count="119">
    <mergeCell ref="A1:A2"/>
    <mergeCell ref="B1:F1"/>
    <mergeCell ref="H1:H2"/>
    <mergeCell ref="I1:M1"/>
    <mergeCell ref="O1:O2"/>
    <mergeCell ref="P1:AF1"/>
    <mergeCell ref="H3:H5"/>
    <mergeCell ref="I3:I5"/>
    <mergeCell ref="J3:J5"/>
    <mergeCell ref="K3:K5"/>
    <mergeCell ref="L3:L5"/>
    <mergeCell ref="M3:M5"/>
    <mergeCell ref="A3:A5"/>
    <mergeCell ref="B3:B5"/>
    <mergeCell ref="C3:C5"/>
    <mergeCell ref="D3:D5"/>
    <mergeCell ref="E3:E5"/>
    <mergeCell ref="F3:F5"/>
    <mergeCell ref="H6:H8"/>
    <mergeCell ref="I6:I8"/>
    <mergeCell ref="J6:J8"/>
    <mergeCell ref="K6:K8"/>
    <mergeCell ref="L6:L8"/>
    <mergeCell ref="M6:M8"/>
    <mergeCell ref="A6:A8"/>
    <mergeCell ref="B6:B8"/>
    <mergeCell ref="C6:C8"/>
    <mergeCell ref="D6:D8"/>
    <mergeCell ref="E6:E8"/>
    <mergeCell ref="F6:F8"/>
    <mergeCell ref="H9:H11"/>
    <mergeCell ref="I9:I11"/>
    <mergeCell ref="J9:J11"/>
    <mergeCell ref="K9:K11"/>
    <mergeCell ref="L9:L11"/>
    <mergeCell ref="M9:M11"/>
    <mergeCell ref="A9:A11"/>
    <mergeCell ref="B9:B11"/>
    <mergeCell ref="C9:C11"/>
    <mergeCell ref="D9:D11"/>
    <mergeCell ref="E9:E11"/>
    <mergeCell ref="F9:F11"/>
    <mergeCell ref="H12:H14"/>
    <mergeCell ref="I12:I14"/>
    <mergeCell ref="J12:J14"/>
    <mergeCell ref="K12:K14"/>
    <mergeCell ref="L12:L14"/>
    <mergeCell ref="M12:M14"/>
    <mergeCell ref="A12:A14"/>
    <mergeCell ref="B12:B14"/>
    <mergeCell ref="C12:C14"/>
    <mergeCell ref="D12:D14"/>
    <mergeCell ref="E12:E14"/>
    <mergeCell ref="F12:F14"/>
    <mergeCell ref="I15:I17"/>
    <mergeCell ref="J15:J17"/>
    <mergeCell ref="K15:K17"/>
    <mergeCell ref="L15:L17"/>
    <mergeCell ref="M15:M17"/>
    <mergeCell ref="A15:A17"/>
    <mergeCell ref="B15:B17"/>
    <mergeCell ref="C15:C17"/>
    <mergeCell ref="D15:D17"/>
    <mergeCell ref="E15:E17"/>
    <mergeCell ref="F15:F17"/>
    <mergeCell ref="A20:A21"/>
    <mergeCell ref="B20:F20"/>
    <mergeCell ref="A22:A24"/>
    <mergeCell ref="B22:B24"/>
    <mergeCell ref="C22:C24"/>
    <mergeCell ref="D22:D24"/>
    <mergeCell ref="E22:E24"/>
    <mergeCell ref="F22:F24"/>
    <mergeCell ref="H15:H17"/>
    <mergeCell ref="A28:A30"/>
    <mergeCell ref="B28:B30"/>
    <mergeCell ref="C28:C30"/>
    <mergeCell ref="D28:D30"/>
    <mergeCell ref="E28:E30"/>
    <mergeCell ref="F28:F30"/>
    <mergeCell ref="A25:A27"/>
    <mergeCell ref="B25:B27"/>
    <mergeCell ref="C25:C27"/>
    <mergeCell ref="D25:D27"/>
    <mergeCell ref="E25:E27"/>
    <mergeCell ref="F25:F27"/>
    <mergeCell ref="A34:A36"/>
    <mergeCell ref="B34:B36"/>
    <mergeCell ref="C34:C36"/>
    <mergeCell ref="D34:D36"/>
    <mergeCell ref="E34:E36"/>
    <mergeCell ref="F34:F36"/>
    <mergeCell ref="A31:A33"/>
    <mergeCell ref="B31:B33"/>
    <mergeCell ref="C31:C33"/>
    <mergeCell ref="D31:D33"/>
    <mergeCell ref="E31:E33"/>
    <mergeCell ref="F31:F33"/>
    <mergeCell ref="B70:C70"/>
    <mergeCell ref="F70:G70"/>
    <mergeCell ref="B71:C71"/>
    <mergeCell ref="F71:G71"/>
    <mergeCell ref="B72:C72"/>
    <mergeCell ref="F72:G72"/>
    <mergeCell ref="A45:F46"/>
    <mergeCell ref="H56:H60"/>
    <mergeCell ref="B68:C68"/>
    <mergeCell ref="F68:G68"/>
    <mergeCell ref="B69:C69"/>
    <mergeCell ref="F69:G69"/>
    <mergeCell ref="B78:C78"/>
    <mergeCell ref="B79:C79"/>
    <mergeCell ref="B80:C80"/>
    <mergeCell ref="B73:C73"/>
    <mergeCell ref="F73:G73"/>
    <mergeCell ref="B74:C74"/>
    <mergeCell ref="B75:C75"/>
    <mergeCell ref="B76:C76"/>
    <mergeCell ref="B77:C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SESUAI KAK VANI (3)</vt:lpstr>
      <vt:lpstr>DATA</vt:lpstr>
      <vt:lpstr>IBNR FIX</vt:lpstr>
      <vt:lpstr>Sheet1</vt:lpstr>
      <vt:lpstr>PER BULAN</vt:lpstr>
      <vt:lpstr>SESUAI KAK VANI</vt:lpstr>
      <vt:lpstr>SESUAI KAK VANI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clarisa amelia</dc:creator>
  <cp:lastModifiedBy>clarisa amelia</cp:lastModifiedBy>
  <dcterms:created xsi:type="dcterms:W3CDTF">2025-07-15T13:19:57Z</dcterms:created>
  <dcterms:modified xsi:type="dcterms:W3CDTF">2025-09-08T15:19:46Z</dcterms:modified>
</cp:coreProperties>
</file>